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ktion vs. ohne Aktion" sheetId="1" state="visible" r:id="rId3"/>
    <sheet name="Annahmen" sheetId="2" state="visible" r:id="rId4"/>
    <sheet name="Warenkorb-Rechnung" sheetId="3" state="visible" r:id="rId5"/>
    <sheet name="Bestellungen 30 Tag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<sst xmlns="http://schemas.openxmlformats.org/spreadsheetml/2006/main" count="260" uniqueCount="161">
  <si>
    <t xml:space="preserve">Halloween-Aktion: Gewinn mit vs. ohne Aktion</t>
  </si>
  <si>
    <t xml:space="preserve">Aktionszeitraum Do 29.10. 18:00 – So 1.11. 23:59. Hochgerechnet aus den echten Bestellungen der letzten 30 Tage. Gewinn nach Einkauf, Partner-Provision, DHL und Verpackung (vor Fixkosten/Werbung).</t>
  </si>
  <si>
    <t xml:space="preserve">Annahmen für die Szenarien (gelb = ändern zum Durchspielen)</t>
  </si>
  <si>
    <t xml:space="preserve">Anteil der Kunden mit 1–2 Flaschen, die auf 3 auffüllen</t>
  </si>
  <si>
    <t xml:space="preserve">Zusätzliche Bestellungen durch die Aktion</t>
  </si>
  <si>
    <t xml:space="preserve">Ergebnis</t>
  </si>
  <si>
    <t xml:space="preserve">Bestellungen</t>
  </si>
  <si>
    <t xml:space="preserve">Umsatz</t>
  </si>
  <si>
    <t xml:space="preserve">Gewinn</t>
  </si>
  <si>
    <t xml:space="preserve">Gewinn je Bestellung</t>
  </si>
  <si>
    <t xml:space="preserve">Unterschied zu ohne Aktion</t>
  </si>
  <si>
    <t xml:space="preserve">Ohne Aktion (normales Wochenende)</t>
  </si>
  <si>
    <t xml:space="preserve">Halloween – gleiche Kunden, gleiche Mengen</t>
  </si>
  <si>
    <t xml:space="preserve">Halloween – mit Auffüllen (B5)</t>
  </si>
  <si>
    <t xml:space="preserve">Halloween – mit Auffüllen (B5) und mehr Bestellungen (B6)</t>
  </si>
  <si>
    <t xml:space="preserve">Szenario-Tabelle: Unterschied im Gewinn zu „ohne Aktion“</t>
  </si>
  <si>
    <t xml:space="preserve">Auffüllen auf 3 Flaschen →</t>
  </si>
  <si>
    <t xml:space="preserve">0 %</t>
  </si>
  <si>
    <t xml:space="preserve">50 %</t>
  </si>
  <si>
    <t xml:space="preserve">100 %</t>
  </si>
  <si>
    <t xml:space="preserve">Anteil auffüllen:</t>
  </si>
  <si>
    <t xml:space="preserve">Break-even</t>
  </si>
  <si>
    <t xml:space="preserve">Zusätzliche Bestellungen, ab denen sich die Aktion lohnt (ohne Auffüllen)</t>
  </si>
  <si>
    <t xml:space="preserve">So liest man das</t>
  </si>
  <si>
    <t xml:space="preserve">• „Ohne Aktion“ = durchschnittliches Wochenende (3¼ Tage) aus den letzten 30 Tagen.</t>
  </si>
  <si>
    <t xml:space="preserve">• „Gleiche Kunden, gleiche Mengen“: Bestellungen wie bisher, nur mit Halloween-Preisen. Etwas weniger Gewinn, weil wer ohnehin 3+ Flaschen kauft, jetzt eine gratis bekommt und Partner 5 % mehr Provision erhalten.</t>
  </si>
  <si>
    <t xml:space="preserve">• Jede zusätzliche Bestellung bringt im Schnitt den Gewinn aus Spalte E – schon 1 zusätzliche Bestellung gleicht den Nachteil aus.</t>
  </si>
  <si>
    <t xml:space="preserve">• Einkaufspreise sind sehr niedrig (Retatrutide 10 mg ≈ 8,46 €), daher bleibt auch mit Gratis-Flasche viel Marge.</t>
  </si>
  <si>
    <t xml:space="preserve">• Details pro Warenkorb: Blatt „Warenkorb-Rechnung“. Grundlage: Blatt „Bestellungen 30 Tage“. Alle Annahmen: Blatt „Annahmen“.</t>
  </si>
  <si>
    <t xml:space="preserve">Annahmen (blaue Werte können geändert werden – alles andere rechnet automatisch)</t>
  </si>
  <si>
    <t xml:space="preserve">Annahme</t>
  </si>
  <si>
    <t xml:space="preserve">Wert</t>
  </si>
  <si>
    <t xml:space="preserve">Quelle / Hinweis</t>
  </si>
  <si>
    <t xml:space="preserve">Preis Retatrutide 10 mg (VK)</t>
  </si>
  <si>
    <t xml:space="preserve">Shop-Preis, regulär</t>
  </si>
  <si>
    <t xml:space="preserve">Einkauf Retatrutide 10 mg in $</t>
  </si>
  <si>
    <t xml:space="preserve">Lieferanten-Preis pro Flasche (Angabe Inhaber)</t>
  </si>
  <si>
    <t xml:space="preserve">Wechselkurs $ → €</t>
  </si>
  <si>
    <t xml:space="preserve">Tageskurs open.er-api.com, 22.10.2026</t>
  </si>
  <si>
    <t xml:space="preserve">Einkauf Retatrutide 10 mg in €</t>
  </si>
  <si>
    <t xml:space="preserve">Formel</t>
  </si>
  <si>
    <t xml:space="preserve">Partner-Provision normal</t>
  </si>
  <si>
    <t xml:space="preserve">Vereinbarter Satz der aktiven Partnerin (alle Partner-Bestellungen der letzten 30 Tage)</t>
  </si>
  <si>
    <t xml:space="preserve">Halloween-Bonus Provision</t>
  </si>
  <si>
    <t xml:space="preserve">Zusätzlich während der Aktion</t>
  </si>
  <si>
    <t xml:space="preserve">Partner-Rabatt für Kunden (normal)</t>
  </si>
  <si>
    <t xml:space="preserve">10 % Empfehlungs-Rabatt über Partner-Link/-Code</t>
  </si>
  <si>
    <t xml:space="preserve">Mengenrabatt ab 3 Flaschen</t>
  </si>
  <si>
    <t xml:space="preserve">Shop-Regel</t>
  </si>
  <si>
    <t xml:space="preserve">Mengenrabatt ab 5 Flaschen</t>
  </si>
  <si>
    <t xml:space="preserve">Mengenrabatt ab 10 Flaschen</t>
  </si>
  <si>
    <t xml:space="preserve">Versand, den der Kunde zahlt</t>
  </si>
  <si>
    <t xml:space="preserve">DE, unter Gratisversand-Grenze</t>
  </si>
  <si>
    <t xml:space="preserve">Gratisversand ab (Warenwert)</t>
  </si>
  <si>
    <t xml:space="preserve">DE</t>
  </si>
  <si>
    <t xml:space="preserve">DHL-Kosten pro Paket</t>
  </si>
  <si>
    <t xml:space="preserve">Angabe Inhaber</t>
  </si>
  <si>
    <t xml:space="preserve">Verpackung pro Paket</t>
  </si>
  <si>
    <t xml:space="preserve">100 Stk = 20 €</t>
  </si>
  <si>
    <t xml:space="preserve">Geschenk ab 200 € (Injektionskit) – Einkauf</t>
  </si>
  <si>
    <t xml:space="preserve">10 Spritzen + 1 Bac Water + Tupfer</t>
  </si>
  <si>
    <t xml:space="preserve">Geschenk ab 350 € (GHK-Cu 50 mg) – Einkauf</t>
  </si>
  <si>
    <t xml:space="preserve">3,30 $</t>
  </si>
  <si>
    <t xml:space="preserve">Geschenk ab 500 € (Retatrutide 10 mg) – Einkauf</t>
  </si>
  <si>
    <t xml:space="preserve">Tage im Vergleichszeitraum</t>
  </si>
  <si>
    <t xml:space="preserve">Bestellungen der letzten 30 Tage (Blatt „Bestellungen 30 Tage“)</t>
  </si>
  <si>
    <t xml:space="preserve">Dauer der Aktion in Tagen</t>
  </si>
  <si>
    <t xml:space="preserve">Do 29.10. 18:00 bis So 1.11. 23:59</t>
  </si>
  <si>
    <t xml:space="preserve">Was bleibt pro Bestellung übrig? Beispiel Retatrutide 10 mg</t>
  </si>
  <si>
    <t xml:space="preserve">Gewinn = Umsatz − Einkauf der Flaschen − Einkauf Geschenke − Partner-Provision − DHL − Verpackung (vor Fixkosten/Werbung)</t>
  </si>
  <si>
    <t xml:space="preserve">Kunde</t>
  </si>
  <si>
    <t xml:space="preserve">Flaschen</t>
  </si>
  <si>
    <t xml:space="preserve">Angebot</t>
  </si>
  <si>
    <t xml:space="preserve">Warenwert regulär</t>
  </si>
  <si>
    <t xml:space="preserve">Kunde zahlt für Ware</t>
  </si>
  <si>
    <t xml:space="preserve">Versand (Kunde zahlt)</t>
  </si>
  <si>
    <t xml:space="preserve">Umsatz gesamt</t>
  </si>
  <si>
    <t xml:space="preserve">Einkauf Flaschen</t>
  </si>
  <si>
    <t xml:space="preserve">Einkauf Geschenke</t>
  </si>
  <si>
    <t xml:space="preserve">Partner-Provision</t>
  </si>
  <si>
    <t xml:space="preserve">DHL + Verpackung</t>
  </si>
  <si>
    <t xml:space="preserve">Gewinn-Unterschied zu normal</t>
  </si>
  <si>
    <t xml:space="preserve">Über Partner</t>
  </si>
  <si>
    <t xml:space="preserve">Normal</t>
  </si>
  <si>
    <t xml:space="preserve">Halloween</t>
  </si>
  <si>
    <t xml:space="preserve">Halloween + Bestpreis-Regel</t>
  </si>
  <si>
    <t xml:space="preserve">Ohne Partner</t>
  </si>
  <si>
    <t xml:space="preserve">Lesehilfe:</t>
  </si>
  <si>
    <t xml:space="preserve">• Normal: Mengenrabatt ab 3/5/10 Flaschen (nur auf die Flaschen der größten erreichten Staffel); Partner-Kunden bekommen zusätzlich 10 %.</t>
  </si>
  <si>
    <t xml:space="preserve">• Halloween: jede 3. Flasche gratis (die günstigste), kein Mengen- oder Partner-Rabatt auf Aktions-Flaschen, Partner bekommen 5 % mehr Provision.</t>
  </si>
  <si>
    <t xml:space="preserve">• Halloween + Bestpreis-Regel (Vorschlag): der Kunde bekommt automatisch das günstigere von beidem – niemand zahlt mehr als sonst.</t>
  </si>
  <si>
    <t xml:space="preserve">• Orange Zeilen = während der Aktion. Spalte M zeigt, wie viel mehr (+) oder weniger (−) pro Bestellung übrig bleibt.</t>
  </si>
  <si>
    <t xml:space="preserve">Echte Bestellungen der letzten 30 Tage – tatsächlich vs. „wäre Halloween gewesen“</t>
  </si>
  <si>
    <t xml:space="preserve">Quelle: Shop-Datenbank, Stand 22.10.2026. Ohne Testbestellungen, Guthaben-Aufladungen und mit Guthaben bezahlte Abo-Lieferungen. Halloween-Spalten = gleiche Ware, nach Halloween-Regeln neu berechnet.</t>
  </si>
  <si>
    <t xml:space="preserve">Bestellung</t>
  </si>
  <si>
    <t xml:space="preserve">Aktions-Flaschen</t>
  </si>
  <si>
    <t xml:space="preserve">davon gratis</t>
  </si>
  <si>
    <t xml:space="preserve">Umsatz tatsächlich</t>
  </si>
  <si>
    <t xml:space="preserve">Gewinn tatsächlich</t>
  </si>
  <si>
    <t xml:space="preserve">Umsatz Halloween</t>
  </si>
  <si>
    <t xml:space="preserve">Provision Halloween</t>
  </si>
  <si>
    <t xml:space="preserve">Gewinn Halloween</t>
  </si>
  <si>
    <t xml:space="preserve">Gewinn Halloween, wenn auf 3 Flaschen aufgefüllt</t>
  </si>
  <si>
    <t xml:space="preserve">#3297</t>
  </si>
  <si>
    <t xml:space="preserve">Nein</t>
  </si>
  <si>
    <t xml:space="preserve">#3292</t>
  </si>
  <si>
    <t xml:space="preserve">#3291</t>
  </si>
  <si>
    <t xml:space="preserve">Ja</t>
  </si>
  <si>
    <t xml:space="preserve">#3290</t>
  </si>
  <si>
    <t xml:space="preserve">#3288</t>
  </si>
  <si>
    <t xml:space="preserve">#3287</t>
  </si>
  <si>
    <t xml:space="preserve">#3286</t>
  </si>
  <si>
    <t xml:space="preserve">#3285</t>
  </si>
  <si>
    <t xml:space="preserve">#3283</t>
  </si>
  <si>
    <t xml:space="preserve">#3281</t>
  </si>
  <si>
    <t xml:space="preserve">#3280</t>
  </si>
  <si>
    <t xml:space="preserve">#3279</t>
  </si>
  <si>
    <t xml:space="preserve">#3278</t>
  </si>
  <si>
    <t xml:space="preserve">#3277</t>
  </si>
  <si>
    <t xml:space="preserve">#3276</t>
  </si>
  <si>
    <t xml:space="preserve">#3273</t>
  </si>
  <si>
    <t xml:space="preserve">#3272</t>
  </si>
  <si>
    <t xml:space="preserve">#3271</t>
  </si>
  <si>
    <t xml:space="preserve">#3269</t>
  </si>
  <si>
    <t xml:space="preserve">#3268</t>
  </si>
  <si>
    <t xml:space="preserve">#3266</t>
  </si>
  <si>
    <t xml:space="preserve">#3259</t>
  </si>
  <si>
    <t xml:space="preserve">#3258</t>
  </si>
  <si>
    <t xml:space="preserve">#3257</t>
  </si>
  <si>
    <t xml:space="preserve">#3256</t>
  </si>
  <si>
    <t xml:space="preserve">#3255</t>
  </si>
  <si>
    <t xml:space="preserve">#3254</t>
  </si>
  <si>
    <t xml:space="preserve">#3252</t>
  </si>
  <si>
    <t xml:space="preserve">#3250</t>
  </si>
  <si>
    <t xml:space="preserve">#3249</t>
  </si>
  <si>
    <t xml:space="preserve">#3247</t>
  </si>
  <si>
    <t xml:space="preserve">#3245</t>
  </si>
  <si>
    <t xml:space="preserve">#3242</t>
  </si>
  <si>
    <t xml:space="preserve">#3241</t>
  </si>
  <si>
    <t xml:space="preserve">#3238</t>
  </si>
  <si>
    <t xml:space="preserve">#3235</t>
  </si>
  <si>
    <t xml:space="preserve">#3234</t>
  </si>
  <si>
    <t xml:space="preserve">#3233</t>
  </si>
  <si>
    <t xml:space="preserve">#3232</t>
  </si>
  <si>
    <t xml:space="preserve">#3231</t>
  </si>
  <si>
    <t xml:space="preserve">#3230</t>
  </si>
  <si>
    <t xml:space="preserve">#3229</t>
  </si>
  <si>
    <t xml:space="preserve">#3228</t>
  </si>
  <si>
    <t xml:space="preserve">#3227</t>
  </si>
  <si>
    <t xml:space="preserve">#3226</t>
  </si>
  <si>
    <t xml:space="preserve">#3224</t>
  </si>
  <si>
    <t xml:space="preserve">#3223</t>
  </si>
  <si>
    <t xml:space="preserve">#3219</t>
  </si>
  <si>
    <t xml:space="preserve">#3218</t>
  </si>
  <si>
    <t xml:space="preserve">#3217</t>
  </si>
  <si>
    <t xml:space="preserve">#3216</t>
  </si>
  <si>
    <t xml:space="preserve">Summe</t>
  </si>
  <si>
    <t xml:space="preserve">Anzahl Bestellungen</t>
  </si>
  <si>
    <t xml:space="preserve">davon über Partner</t>
  </si>
  <si>
    <t xml:space="preserve">Bestellungen, die bei Halloween mehr gekostet hätten</t>
  </si>
  <si>
    <t xml:space="preserve">Hinweis: „aufgefüllt“ = Kunden mit 1–2 Aktions-Flaschen nehmen so viele dazu, dass es 3 sind (Annahme: zusätzliche Flaschen Retatrutide 10 mg).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</si>
</sst>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%"/>
    <numFmt numFmtId="166" formatCode="0.0"/>
    <numFmt numFmtId="167" formatCode="#,##0.00&quot; €&quot;;\-#,##0.00&quot; €&quot;;\-"/>
    <numFmt numFmtId="168" formatCode="\+0%&quot; mehr Bestellungen&quot;"/>
    <numFmt numFmtId="169" formatCode="\+#,##0&quot; €&quot;;\-#,##0&quot; €&quot;;0&quot; €&quot;"/>
    <numFmt numFmtId="170" formatCode="#,##0.00&quot; $&quot;"/>
    <numFmt numFmtId="171" formatCode="0.0000"/>
    <numFmt numFmtId="172" formatCode="0.0%"/>
    <numFmt numFmtId="173" formatCode="0"/>
    <numFmt numFmtId="174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1F1F"/>
        <bgColor rgb="FF333300"/>
      </patternFill>
    </fill>
    <fill>
      <patternFill patternType="solid">
        <fgColor rgb="FFFFE8D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8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6" min="2" style="0" width="17"/>
  </cols>
  <sheetData>
    <row r="1" customFormat="false" ht="17.35" hidden="false" customHeight="false" outlineLevel="0" collapsed="false">
      <c r="A1" s="1" t="s">
        <v>0</v>
      </c>
    </row>
    <row r="2" customFormat="false" ht="43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0.5</v>
      </c>
    </row>
    <row r="6" customFormat="false" ht="15" hidden="false" customHeight="false" outlineLevel="0" collapsed="false">
      <c r="A6" s="4" t="s">
        <v>4</v>
      </c>
      <c r="B6" s="5" t="n">
        <v>1</v>
      </c>
    </row>
    <row r="8" customFormat="false" ht="15" hidden="false" customHeight="false" outlineLevel="0" collapsed="false">
      <c r="A8" s="3" t="s">
        <v>5</v>
      </c>
    </row>
    <row r="9" customFormat="false" ht="31.5" hidden="false" customHeight="true" outlineLevel="0" collapsed="false">
      <c r="A9" s="6"/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</row>
    <row r="10" customFormat="false" ht="15" hidden="false" customHeight="false" outlineLevel="0" collapsed="false">
      <c r="A10" s="4" t="s">
        <v>11</v>
      </c>
      <c r="B10" s="7" t="n">
        <f aca="false">'Bestellungen 30 Tage'!B57*Annahmen!$B$21/Annahmen!$B$20</f>
        <v>5.525</v>
      </c>
      <c r="C10" s="8" t="n">
        <f aca="false">'Bestellungen 30 Tage'!E56*Annahmen!$B$21/Annahmen!$B$20</f>
        <v>983.369833333333</v>
      </c>
      <c r="D10" s="9" t="n">
        <f aca="false">'Bestellungen 30 Tage'!F56*Annahmen!$B$21/Annahmen!$B$20</f>
        <v>691.8145</v>
      </c>
      <c r="E10" s="8" t="n">
        <f aca="false">D10/B10</f>
        <v>125.215294117647</v>
      </c>
      <c r="F10" s="8"/>
    </row>
    <row r="11" customFormat="false" ht="15" hidden="false" customHeight="false" outlineLevel="0" collapsed="false">
      <c r="A11" s="4" t="s">
        <v>12</v>
      </c>
      <c r="B11" s="7" t="n">
        <f aca="false">B10</f>
        <v>5.525</v>
      </c>
      <c r="C11" s="8" t="n">
        <f aca="false">'Bestellungen 30 Tage'!G56*Annahmen!$B$21/Annahmen!$B$20</f>
        <v>992.638833333333</v>
      </c>
      <c r="D11" s="9" t="n">
        <f aca="false">'Bestellungen 30 Tage'!I56*Annahmen!$B$21/Annahmen!$B$20</f>
        <v>669.721</v>
      </c>
      <c r="E11" s="8" t="n">
        <f aca="false">D11/B11</f>
        <v>121.216470588235</v>
      </c>
      <c r="F11" s="8" t="n">
        <f aca="false">D11-$D$10</f>
        <v>-22.0935000000001</v>
      </c>
    </row>
    <row r="12" customFormat="false" ht="15" hidden="false" customHeight="false" outlineLevel="0" collapsed="false">
      <c r="A12" s="4" t="s">
        <v>13</v>
      </c>
      <c r="B12" s="7" t="n">
        <f aca="false">B10</f>
        <v>5.525</v>
      </c>
      <c r="C12" s="8"/>
      <c r="D12" s="9" t="n">
        <f aca="false">('Bestellungen 30 Tage'!I56+$B$5*('Bestellungen 30 Tage'!J56-'Bestellungen 30 Tage'!I56))*Annahmen!$B$21/Annahmen!$B$20</f>
        <v>723.372</v>
      </c>
      <c r="E12" s="8" t="n">
        <f aca="false">D12/B12</f>
        <v>130.927058823529</v>
      </c>
      <c r="F12" s="8" t="n">
        <f aca="false">D12-$D$10</f>
        <v>31.5575</v>
      </c>
    </row>
    <row r="13" customFormat="false" ht="15" hidden="false" customHeight="false" outlineLevel="0" collapsed="false">
      <c r="A13" s="4" t="s">
        <v>14</v>
      </c>
      <c r="B13" s="7" t="n">
        <f aca="false">B10*(1+$B$6)</f>
        <v>11.05</v>
      </c>
      <c r="C13" s="8"/>
      <c r="D13" s="9" t="n">
        <f aca="false">D12*(1+$B$6)</f>
        <v>1446.744</v>
      </c>
      <c r="E13" s="8" t="n">
        <f aca="false">D13/B13</f>
        <v>130.927058823529</v>
      </c>
      <c r="F13" s="10" t="n">
        <f aca="false">D13-$D$10</f>
        <v>754.9295</v>
      </c>
    </row>
    <row r="15" customFormat="false" ht="15" hidden="false" customHeight="false" outlineLevel="0" collapsed="false">
      <c r="A15" s="3" t="s">
        <v>15</v>
      </c>
    </row>
    <row r="16" customFormat="false" ht="19.5" hidden="false" customHeight="true" outlineLevel="0" collapsed="false">
      <c r="A16" s="6" t="s">
        <v>16</v>
      </c>
      <c r="B16" s="6" t="s">
        <v>17</v>
      </c>
      <c r="C16" s="6" t="s">
        <v>18</v>
      </c>
      <c r="D16" s="6" t="s">
        <v>19</v>
      </c>
    </row>
    <row r="17" customFormat="false" ht="15" hidden="false" customHeight="false" outlineLevel="0" collapsed="false">
      <c r="A17" s="3" t="s">
        <v>20</v>
      </c>
      <c r="B17" s="11" t="n">
        <v>0</v>
      </c>
      <c r="C17" s="11" t="n">
        <v>0.5</v>
      </c>
      <c r="D17" s="11" t="n">
        <v>1</v>
      </c>
    </row>
    <row r="18" customFormat="false" ht="15" hidden="false" customHeight="false" outlineLevel="0" collapsed="false">
      <c r="A18" s="12" t="n">
        <v>0</v>
      </c>
      <c r="B18" s="13" t="n">
        <f aca="false">('Bestellungen 30 Tage'!I56+B$17*('Bestellungen 30 Tage'!J56-'Bestellungen 30 Tage'!I56))*Annahmen!$B$21/Annahmen!$B$20*(1+$A18)-$D$10</f>
        <v>-22.0935000000001</v>
      </c>
      <c r="C18" s="13" t="n">
        <f aca="false">('Bestellungen 30 Tage'!I56+C$17*('Bestellungen 30 Tage'!J56-'Bestellungen 30 Tage'!I56))*Annahmen!$B$21/Annahmen!$B$20*(1+$A18)-$D$10</f>
        <v>31.5575</v>
      </c>
      <c r="D18" s="13" t="n">
        <f aca="false">('Bestellungen 30 Tage'!I56+D$17*('Bestellungen 30 Tage'!J56-'Bestellungen 30 Tage'!I56))*Annahmen!$B$21/Annahmen!$B$20*(1+$A18)-$D$10</f>
        <v>85.2085</v>
      </c>
    </row>
    <row r="19" customFormat="false" ht="15" hidden="false" customHeight="false" outlineLevel="0" collapsed="false">
      <c r="A19" s="12" t="n">
        <v>0.25</v>
      </c>
      <c r="B19" s="13" t="n">
        <f aca="false">('Bestellungen 30 Tage'!I56+B$17*('Bestellungen 30 Tage'!J56-'Bestellungen 30 Tage'!I56))*Annahmen!$B$21/Annahmen!$B$20*(1+$A19)-$D$10</f>
        <v>145.33675</v>
      </c>
      <c r="C19" s="13" t="n">
        <f aca="false">('Bestellungen 30 Tage'!I56+C$17*('Bestellungen 30 Tage'!J56-'Bestellungen 30 Tage'!I56))*Annahmen!$B$21/Annahmen!$B$20*(1+$A19)-$D$10</f>
        <v>212.4005</v>
      </c>
      <c r="D19" s="13" t="n">
        <f aca="false">('Bestellungen 30 Tage'!I56+D$17*('Bestellungen 30 Tage'!J56-'Bestellungen 30 Tage'!I56))*Annahmen!$B$21/Annahmen!$B$20*(1+$A19)-$D$10</f>
        <v>279.46425</v>
      </c>
    </row>
    <row r="20" customFormat="false" ht="15" hidden="false" customHeight="false" outlineLevel="0" collapsed="false">
      <c r="A20" s="12" t="n">
        <v>0.5</v>
      </c>
      <c r="B20" s="13" t="n">
        <f aca="false">('Bestellungen 30 Tage'!I56+B$17*('Bestellungen 30 Tage'!J56-'Bestellungen 30 Tage'!I56))*Annahmen!$B$21/Annahmen!$B$20*(1+$A20)-$D$10</f>
        <v>312.767</v>
      </c>
      <c r="C20" s="13" t="n">
        <f aca="false">('Bestellungen 30 Tage'!I56+C$17*('Bestellungen 30 Tage'!J56-'Bestellungen 30 Tage'!I56))*Annahmen!$B$21/Annahmen!$B$20*(1+$A20)-$D$10</f>
        <v>393.2435</v>
      </c>
      <c r="D20" s="13" t="n">
        <f aca="false">('Bestellungen 30 Tage'!I56+D$17*('Bestellungen 30 Tage'!J56-'Bestellungen 30 Tage'!I56))*Annahmen!$B$21/Annahmen!$B$20*(1+$A20)-$D$10</f>
        <v>473.72</v>
      </c>
    </row>
    <row r="21" customFormat="false" ht="15" hidden="false" customHeight="false" outlineLevel="0" collapsed="false">
      <c r="A21" s="12" t="n">
        <v>1</v>
      </c>
      <c r="B21" s="13" t="n">
        <f aca="false">('Bestellungen 30 Tage'!I56+B$17*('Bestellungen 30 Tage'!J56-'Bestellungen 30 Tage'!I56))*Annahmen!$B$21/Annahmen!$B$20*(1+$A21)-$D$10</f>
        <v>647.6275</v>
      </c>
      <c r="C21" s="13" t="n">
        <f aca="false">('Bestellungen 30 Tage'!I56+C$17*('Bestellungen 30 Tage'!J56-'Bestellungen 30 Tage'!I56))*Annahmen!$B$21/Annahmen!$B$20*(1+$A21)-$D$10</f>
        <v>754.9295</v>
      </c>
      <c r="D21" s="13" t="n">
        <f aca="false">('Bestellungen 30 Tage'!I56+D$17*('Bestellungen 30 Tage'!J56-'Bestellungen 30 Tage'!I56))*Annahmen!$B$21/Annahmen!$B$20*(1+$A21)-$D$10</f>
        <v>862.2315</v>
      </c>
    </row>
    <row r="22" customFormat="false" ht="15" hidden="false" customHeight="false" outlineLevel="0" collapsed="false">
      <c r="A22" s="12" t="n">
        <v>2</v>
      </c>
      <c r="B22" s="13" t="n">
        <f aca="false">('Bestellungen 30 Tage'!I56+B$17*('Bestellungen 30 Tage'!J56-'Bestellungen 30 Tage'!I56))*Annahmen!$B$21/Annahmen!$B$20*(1+$A22)-$D$10</f>
        <v>1317.3485</v>
      </c>
      <c r="C22" s="13" t="n">
        <f aca="false">('Bestellungen 30 Tage'!I56+C$17*('Bestellungen 30 Tage'!J56-'Bestellungen 30 Tage'!I56))*Annahmen!$B$21/Annahmen!$B$20*(1+$A22)-$D$10</f>
        <v>1478.3015</v>
      </c>
      <c r="D22" s="13" t="n">
        <f aca="false">('Bestellungen 30 Tage'!I56+D$17*('Bestellungen 30 Tage'!J56-'Bestellungen 30 Tage'!I56))*Annahmen!$B$21/Annahmen!$B$20*(1+$A22)-$D$10</f>
        <v>1639.2545</v>
      </c>
    </row>
    <row r="24" customFormat="false" ht="15" hidden="false" customHeight="false" outlineLevel="0" collapsed="false">
      <c r="A24" s="3" t="s">
        <v>21</v>
      </c>
    </row>
    <row r="25" customFormat="false" ht="15" hidden="false" customHeight="false" outlineLevel="0" collapsed="false">
      <c r="A25" s="4" t="s">
        <v>22</v>
      </c>
      <c r="B25" s="7" t="n">
        <f aca="false">MAX(0,-F11/E11)</f>
        <v>0.182264834908866</v>
      </c>
    </row>
    <row r="27" customFormat="false" ht="15" hidden="false" customHeight="false" outlineLevel="0" collapsed="false">
      <c r="A27" s="3" t="s">
        <v>23</v>
      </c>
    </row>
    <row r="28" customFormat="false" ht="30" hidden="false" customHeight="true" outlineLevel="0" collapsed="false">
      <c r="A28" s="2" t="s">
        <v>24</v>
      </c>
      <c r="B28" s="2"/>
      <c r="C28" s="2"/>
      <c r="D28" s="2"/>
      <c r="E28" s="2"/>
      <c r="F28" s="2"/>
    </row>
    <row r="29" customFormat="false" ht="30" hidden="false" customHeight="true" outlineLevel="0" collapsed="false">
      <c r="A29" s="2" t="s">
        <v>25</v>
      </c>
      <c r="B29" s="2"/>
      <c r="C29" s="2"/>
      <c r="D29" s="2"/>
      <c r="E29" s="2"/>
      <c r="F29" s="2"/>
    </row>
    <row r="30" customFormat="false" ht="30" hidden="false" customHeight="true" outlineLevel="0" collapsed="false">
      <c r="A30" s="2" t="s">
        <v>26</v>
      </c>
      <c r="B30" s="2"/>
      <c r="C30" s="2"/>
      <c r="D30" s="2"/>
      <c r="E30" s="2"/>
      <c r="F30" s="2"/>
    </row>
    <row r="31" customFormat="false" ht="30" hidden="false" customHeight="true" outlineLevel="0" collapsed="false">
      <c r="A31" s="2" t="s">
        <v>27</v>
      </c>
      <c r="B31" s="2"/>
      <c r="C31" s="2"/>
      <c r="D31" s="2"/>
      <c r="E31" s="2"/>
      <c r="F31" s="2"/>
    </row>
    <row r="32" customFormat="false" ht="30" hidden="false" customHeight="true" outlineLevel="0" collapsed="false">
      <c r="A32" s="2" t="s">
        <v>28</v>
      </c>
      <c r="B32" s="2"/>
      <c r="C32" s="2"/>
      <c r="D32" s="2"/>
      <c r="E32" s="2"/>
      <c r="F32" s="2"/>
    </row>
  </sheetData>
  <mergeCells count="6">
    <mergeCell ref="A2:F2"/>
    <mergeCell ref="A28:F28"/>
    <mergeCell ref="A29:F29"/>
    <mergeCell ref="A30:F30"/>
    <mergeCell ref="A31:F31"/>
    <mergeCell ref="A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6" t="s">
        <v>30</v>
      </c>
      <c r="B2" s="6" t="s">
        <v>31</v>
      </c>
      <c r="C2" s="6" t="s">
        <v>32</v>
      </c>
    </row>
    <row r="3" customFormat="false" ht="15" hidden="false" customHeight="false" outlineLevel="0" collapsed="false">
      <c r="A3" s="4" t="s">
        <v>33</v>
      </c>
      <c r="B3" s="14" t="n">
        <v>74.9</v>
      </c>
      <c r="C3" s="4" t="s">
        <v>34</v>
      </c>
    </row>
    <row r="4" customFormat="false" ht="15" hidden="false" customHeight="false" outlineLevel="0" collapsed="false">
      <c r="A4" s="4" t="s">
        <v>35</v>
      </c>
      <c r="B4" s="15" t="n">
        <v>9.5</v>
      </c>
      <c r="C4" s="4" t="s">
        <v>36</v>
      </c>
    </row>
    <row r="5" customFormat="false" ht="15" hidden="false" customHeight="false" outlineLevel="0" collapsed="false">
      <c r="A5" s="4" t="s">
        <v>37</v>
      </c>
      <c r="B5" s="16" t="n">
        <v>0.8903</v>
      </c>
      <c r="C5" s="4" t="s">
        <v>38</v>
      </c>
    </row>
    <row r="6" customFormat="false" ht="15" hidden="false" customHeight="false" outlineLevel="0" collapsed="false">
      <c r="A6" s="4" t="s">
        <v>39</v>
      </c>
      <c r="B6" s="17" t="n">
        <f aca="false">B4*B5</f>
        <v>8.45785</v>
      </c>
      <c r="C6" s="4" t="s">
        <v>40</v>
      </c>
    </row>
    <row r="7" customFormat="false" ht="15" hidden="false" customHeight="false" outlineLevel="0" collapsed="false">
      <c r="A7" s="4" t="s">
        <v>41</v>
      </c>
      <c r="B7" s="18" t="n">
        <v>0.2</v>
      </c>
      <c r="C7" s="4" t="s">
        <v>42</v>
      </c>
    </row>
    <row r="8" customFormat="false" ht="15" hidden="false" customHeight="false" outlineLevel="0" collapsed="false">
      <c r="A8" s="4" t="s">
        <v>43</v>
      </c>
      <c r="B8" s="18" t="n">
        <v>0.05</v>
      </c>
      <c r="C8" s="4" t="s">
        <v>44</v>
      </c>
    </row>
    <row r="9" customFormat="false" ht="15" hidden="false" customHeight="false" outlineLevel="0" collapsed="false">
      <c r="A9" s="4" t="s">
        <v>45</v>
      </c>
      <c r="B9" s="19" t="n">
        <v>0.1</v>
      </c>
      <c r="C9" s="4" t="s">
        <v>46</v>
      </c>
    </row>
    <row r="10" customFormat="false" ht="15" hidden="false" customHeight="false" outlineLevel="0" collapsed="false">
      <c r="A10" s="4" t="s">
        <v>47</v>
      </c>
      <c r="B10" s="19" t="n">
        <v>0.1</v>
      </c>
      <c r="C10" s="4" t="s">
        <v>48</v>
      </c>
    </row>
    <row r="11" customFormat="false" ht="15" hidden="false" customHeight="false" outlineLevel="0" collapsed="false">
      <c r="A11" s="4" t="s">
        <v>49</v>
      </c>
      <c r="B11" s="19" t="n">
        <v>0.15</v>
      </c>
      <c r="C11" s="4" t="s">
        <v>48</v>
      </c>
    </row>
    <row r="12" customFormat="false" ht="15" hidden="false" customHeight="false" outlineLevel="0" collapsed="false">
      <c r="A12" s="4" t="s">
        <v>50</v>
      </c>
      <c r="B12" s="19" t="n">
        <v>0.2</v>
      </c>
      <c r="C12" s="4" t="s">
        <v>48</v>
      </c>
    </row>
    <row r="13" customFormat="false" ht="15" hidden="false" customHeight="false" outlineLevel="0" collapsed="false">
      <c r="A13" s="4" t="s">
        <v>51</v>
      </c>
      <c r="B13" s="14" t="n">
        <v>4.9</v>
      </c>
      <c r="C13" s="4" t="s">
        <v>52</v>
      </c>
    </row>
    <row r="14" customFormat="false" ht="15" hidden="false" customHeight="false" outlineLevel="0" collapsed="false">
      <c r="A14" s="4" t="s">
        <v>53</v>
      </c>
      <c r="B14" s="14" t="n">
        <v>150</v>
      </c>
      <c r="C14" s="4" t="s">
        <v>54</v>
      </c>
    </row>
    <row r="15" customFormat="false" ht="15" hidden="false" customHeight="false" outlineLevel="0" collapsed="false">
      <c r="A15" s="4" t="s">
        <v>55</v>
      </c>
      <c r="B15" s="14" t="n">
        <v>6.19</v>
      </c>
      <c r="C15" s="4" t="s">
        <v>56</v>
      </c>
    </row>
    <row r="16" customFormat="false" ht="15" hidden="false" customHeight="false" outlineLevel="0" collapsed="false">
      <c r="A16" s="4" t="s">
        <v>57</v>
      </c>
      <c r="B16" s="14" t="n">
        <v>0.2</v>
      </c>
      <c r="C16" s="4" t="s">
        <v>58</v>
      </c>
    </row>
    <row r="17" customFormat="false" ht="15" hidden="false" customHeight="false" outlineLevel="0" collapsed="false">
      <c r="A17" s="4" t="s">
        <v>59</v>
      </c>
      <c r="B17" s="14" t="n">
        <v>4.0346</v>
      </c>
      <c r="C17" s="4" t="s">
        <v>60</v>
      </c>
    </row>
    <row r="18" customFormat="false" ht="15" hidden="false" customHeight="false" outlineLevel="0" collapsed="false">
      <c r="A18" s="4" t="s">
        <v>61</v>
      </c>
      <c r="B18" s="14" t="n">
        <v>2.938</v>
      </c>
      <c r="C18" s="4" t="s">
        <v>62</v>
      </c>
    </row>
    <row r="19" customFormat="false" ht="15" hidden="false" customHeight="false" outlineLevel="0" collapsed="false">
      <c r="A19" s="4" t="s">
        <v>63</v>
      </c>
      <c r="B19" s="17" t="n">
        <f aca="false">B6</f>
        <v>8.45785</v>
      </c>
      <c r="C19" s="4" t="s">
        <v>40</v>
      </c>
    </row>
    <row r="20" customFormat="false" ht="15" hidden="false" customHeight="false" outlineLevel="0" collapsed="false">
      <c r="A20" s="4" t="s">
        <v>64</v>
      </c>
      <c r="B20" s="20" t="n">
        <v>30</v>
      </c>
      <c r="C20" s="4" t="s">
        <v>65</v>
      </c>
    </row>
    <row r="21" customFormat="false" ht="15" hidden="false" customHeight="false" outlineLevel="0" collapsed="false">
      <c r="A21" s="4" t="s">
        <v>66</v>
      </c>
      <c r="B21" s="21" t="n">
        <v>3.25</v>
      </c>
      <c r="C21" s="4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13" min="4" style="0" width="14"/>
  </cols>
  <sheetData>
    <row r="1" customFormat="false" ht="17.35" hidden="false" customHeight="false" outlineLevel="0" collapsed="false">
      <c r="A1" s="1" t="s">
        <v>68</v>
      </c>
    </row>
    <row r="2" customFormat="false" ht="15" hidden="false" customHeight="false" outlineLevel="0" collapsed="false">
      <c r="A2" s="4" t="s">
        <v>69</v>
      </c>
    </row>
    <row r="4" customFormat="false" ht="42" hidden="false" customHeight="true" outlineLevel="0" collapsed="false">
      <c r="A4" s="6" t="s">
        <v>70</v>
      </c>
      <c r="B4" s="6" t="s">
        <v>71</v>
      </c>
      <c r="C4" s="6" t="s">
        <v>72</v>
      </c>
      <c r="D4" s="6" t="s">
        <v>73</v>
      </c>
      <c r="E4" s="6" t="s">
        <v>74</v>
      </c>
      <c r="F4" s="6" t="s">
        <v>75</v>
      </c>
      <c r="G4" s="6" t="s">
        <v>76</v>
      </c>
      <c r="H4" s="6" t="s">
        <v>77</v>
      </c>
      <c r="I4" s="6" t="s">
        <v>78</v>
      </c>
      <c r="J4" s="6" t="s">
        <v>79</v>
      </c>
      <c r="K4" s="6" t="s">
        <v>80</v>
      </c>
      <c r="L4" s="6" t="s">
        <v>8</v>
      </c>
      <c r="M4" s="6" t="s">
        <v>81</v>
      </c>
    </row>
    <row r="5" customFormat="false" ht="15" hidden="false" customHeight="false" outlineLevel="0" collapsed="false">
      <c r="A5" s="4" t="s">
        <v>82</v>
      </c>
      <c r="B5" s="22" t="n">
        <v>1</v>
      </c>
      <c r="C5" s="4" t="s">
        <v>83</v>
      </c>
      <c r="D5" s="8" t="n">
        <f aca="false">B5*Annahmen!$B$3</f>
        <v>74.9</v>
      </c>
      <c r="E5" s="8" t="n">
        <f aca="false">(IF(B5&gt;=10,10*Annahmen!$B$3*(1-Annahmen!$B$12)+(B5-10)*Annahmen!$B$3,IF(B5&gt;=5,5*Annahmen!$B$3*(1-Annahmen!$B$11)+(B5-5)*Annahmen!$B$3,IF(B5&gt;=3,3*Annahmen!$B$3*(1-Annahmen!$B$10)+(B5-3)*Annahmen!$B$3,B5*Annahmen!$B$3))))*(1-Annahmen!$B$9)</f>
        <v>67.41</v>
      </c>
      <c r="F5" s="8" t="n">
        <f aca="false">IF(E5&gt;=Annahmen!$B$14,0,Annahmen!$B$13)</f>
        <v>4.9</v>
      </c>
      <c r="G5" s="8" t="n">
        <f aca="false">E5+F5</f>
        <v>72.31</v>
      </c>
      <c r="H5" s="8" t="n">
        <f aca="false">B5*Annahmen!$B$6</f>
        <v>8.45785</v>
      </c>
      <c r="I5" s="8" t="n">
        <f aca="false">IF(E5&gt;=200,Annahmen!$B$17,0)+IF(E5&gt;=350,Annahmen!$B$18,0)+IF(E5&gt;=500,Annahmen!$B$19,0)</f>
        <v>0</v>
      </c>
      <c r="J5" s="8" t="n">
        <f aca="false">E5*Annahmen!$B$7</f>
        <v>13.482</v>
      </c>
      <c r="K5" s="8" t="n">
        <f aca="false">Annahmen!$B$15+Annahmen!$B$16</f>
        <v>6.39</v>
      </c>
      <c r="L5" s="9" t="n">
        <f aca="false">G5-H5-I5-J5-K5</f>
        <v>43.98015</v>
      </c>
      <c r="M5" s="8"/>
    </row>
    <row r="6" customFormat="false" ht="15" hidden="false" customHeight="false" outlineLevel="0" collapsed="false">
      <c r="A6" s="23" t="s">
        <v>82</v>
      </c>
      <c r="B6" s="24" t="n">
        <v>1</v>
      </c>
      <c r="C6" s="23" t="s">
        <v>84</v>
      </c>
      <c r="D6" s="25" t="n">
        <f aca="false">B6*Annahmen!$B$3</f>
        <v>74.9</v>
      </c>
      <c r="E6" s="25" t="n">
        <f aca="false">(B6-INT(B6/3))*Annahmen!$B$3</f>
        <v>74.9</v>
      </c>
      <c r="F6" s="25" t="n">
        <f aca="false">IF(E6&gt;=Annahmen!$B$14,0,Annahmen!$B$13)</f>
        <v>4.9</v>
      </c>
      <c r="G6" s="25" t="n">
        <f aca="false">E6+F6</f>
        <v>79.8</v>
      </c>
      <c r="H6" s="25" t="n">
        <f aca="false">B6*Annahmen!$B$6</f>
        <v>8.45785</v>
      </c>
      <c r="I6" s="25" t="n">
        <f aca="false">IF(E6&gt;=200,Annahmen!$B$17,0)+IF(E6&gt;=350,Annahmen!$B$18,0)+IF(E6&gt;=500,Annahmen!$B$19,0)</f>
        <v>0</v>
      </c>
      <c r="J6" s="25" t="n">
        <f aca="false">E6*(Annahmen!$B$7+Annahmen!$B$8)</f>
        <v>18.725</v>
      </c>
      <c r="K6" s="25" t="n">
        <f aca="false">Annahmen!$B$15+Annahmen!$B$16</f>
        <v>6.39</v>
      </c>
      <c r="L6" s="26" t="n">
        <f aca="false">G6-H6-I6-J6-K6</f>
        <v>46.22715</v>
      </c>
      <c r="M6" s="25" t="n">
        <f aca="false">L6-L5</f>
        <v>2.24699999999999</v>
      </c>
    </row>
    <row r="7" customFormat="false" ht="15" hidden="false" customHeight="false" outlineLevel="0" collapsed="false">
      <c r="A7" s="23" t="s">
        <v>82</v>
      </c>
      <c r="B7" s="24" t="n">
        <v>1</v>
      </c>
      <c r="C7" s="23" t="s">
        <v>85</v>
      </c>
      <c r="D7" s="25" t="n">
        <f aca="false">B7*Annahmen!$B$3</f>
        <v>74.9</v>
      </c>
      <c r="E7" s="25" t="n">
        <f aca="false">MIN((IF(B7&gt;=10,10*Annahmen!$B$3*(1-Annahmen!$B$12)+(B7-10)*Annahmen!$B$3,IF(B7&gt;=5,5*Annahmen!$B$3*(1-Annahmen!$B$11)+(B7-5)*Annahmen!$B$3,IF(B7&gt;=3,3*Annahmen!$B$3*(1-Annahmen!$B$10)+(B7-3)*Annahmen!$B$3,B7*Annahmen!$B$3))))*(1-Annahmen!$B$9),(B7-INT(B7/3))*Annahmen!$B$3)</f>
        <v>67.41</v>
      </c>
      <c r="F7" s="25" t="n">
        <f aca="false">IF(E7&gt;=Annahmen!$B$14,0,Annahmen!$B$13)</f>
        <v>4.9</v>
      </c>
      <c r="G7" s="25" t="n">
        <f aca="false">E7+F7</f>
        <v>72.31</v>
      </c>
      <c r="H7" s="25" t="n">
        <f aca="false">B7*Annahmen!$B$6</f>
        <v>8.45785</v>
      </c>
      <c r="I7" s="25" t="n">
        <f aca="false">IF(E7&gt;=200,Annahmen!$B$17,0)+IF(E7&gt;=350,Annahmen!$B$18,0)+IF(E7&gt;=500,Annahmen!$B$19,0)</f>
        <v>0</v>
      </c>
      <c r="J7" s="25" t="n">
        <f aca="false">E7*(Annahmen!$B$7+Annahmen!$B$8)</f>
        <v>16.8525</v>
      </c>
      <c r="K7" s="25" t="n">
        <f aca="false">Annahmen!$B$15+Annahmen!$B$16</f>
        <v>6.39</v>
      </c>
      <c r="L7" s="26" t="n">
        <f aca="false">G7-H7-I7-J7-K7</f>
        <v>40.60965</v>
      </c>
      <c r="M7" s="25" t="n">
        <f aca="false">L7-L5</f>
        <v>-3.37049999999999</v>
      </c>
    </row>
    <row r="8" customFormat="false" ht="15" hidden="false" customHeight="false" outlineLevel="0" collapsed="false">
      <c r="A8" s="4" t="s">
        <v>82</v>
      </c>
      <c r="B8" s="22" t="n">
        <v>2</v>
      </c>
      <c r="C8" s="4" t="s">
        <v>83</v>
      </c>
      <c r="D8" s="8" t="n">
        <f aca="false">B8*Annahmen!$B$3</f>
        <v>149.8</v>
      </c>
      <c r="E8" s="8" t="n">
        <f aca="false">(IF(B8&gt;=10,10*Annahmen!$B$3*(1-Annahmen!$B$12)+(B8-10)*Annahmen!$B$3,IF(B8&gt;=5,5*Annahmen!$B$3*(1-Annahmen!$B$11)+(B8-5)*Annahmen!$B$3,IF(B8&gt;=3,3*Annahmen!$B$3*(1-Annahmen!$B$10)+(B8-3)*Annahmen!$B$3,B8*Annahmen!$B$3))))*(1-Annahmen!$B$9)</f>
        <v>134.82</v>
      </c>
      <c r="F8" s="8" t="n">
        <f aca="false">IF(E8&gt;=Annahmen!$B$14,0,Annahmen!$B$13)</f>
        <v>4.9</v>
      </c>
      <c r="G8" s="8" t="n">
        <f aca="false">E8+F8</f>
        <v>139.72</v>
      </c>
      <c r="H8" s="8" t="n">
        <f aca="false">B8*Annahmen!$B$6</f>
        <v>16.9157</v>
      </c>
      <c r="I8" s="8" t="n">
        <f aca="false">IF(E8&gt;=200,Annahmen!$B$17,0)+IF(E8&gt;=350,Annahmen!$B$18,0)+IF(E8&gt;=500,Annahmen!$B$19,0)</f>
        <v>0</v>
      </c>
      <c r="J8" s="8" t="n">
        <f aca="false">E8*Annahmen!$B$7</f>
        <v>26.964</v>
      </c>
      <c r="K8" s="8" t="n">
        <f aca="false">Annahmen!$B$15+Annahmen!$B$16</f>
        <v>6.39</v>
      </c>
      <c r="L8" s="9" t="n">
        <f aca="false">G8-H8-I8-J8-K8</f>
        <v>89.4503</v>
      </c>
      <c r="M8" s="8"/>
    </row>
    <row r="9" customFormat="false" ht="15" hidden="false" customHeight="false" outlineLevel="0" collapsed="false">
      <c r="A9" s="23" t="s">
        <v>82</v>
      </c>
      <c r="B9" s="24" t="n">
        <v>2</v>
      </c>
      <c r="C9" s="23" t="s">
        <v>84</v>
      </c>
      <c r="D9" s="25" t="n">
        <f aca="false">B9*Annahmen!$B$3</f>
        <v>149.8</v>
      </c>
      <c r="E9" s="25" t="n">
        <f aca="false">(B9-INT(B9/3))*Annahmen!$B$3</f>
        <v>149.8</v>
      </c>
      <c r="F9" s="25" t="n">
        <f aca="false">IF(E9&gt;=Annahmen!$B$14,0,Annahmen!$B$13)</f>
        <v>4.9</v>
      </c>
      <c r="G9" s="25" t="n">
        <f aca="false">E9+F9</f>
        <v>154.7</v>
      </c>
      <c r="H9" s="25" t="n">
        <f aca="false">B9*Annahmen!$B$6</f>
        <v>16.9157</v>
      </c>
      <c r="I9" s="25" t="n">
        <f aca="false">IF(E9&gt;=200,Annahmen!$B$17,0)+IF(E9&gt;=350,Annahmen!$B$18,0)+IF(E9&gt;=500,Annahmen!$B$19,0)</f>
        <v>0</v>
      </c>
      <c r="J9" s="25" t="n">
        <f aca="false">E9*(Annahmen!$B$7+Annahmen!$B$8)</f>
        <v>37.45</v>
      </c>
      <c r="K9" s="25" t="n">
        <f aca="false">Annahmen!$B$15+Annahmen!$B$16</f>
        <v>6.39</v>
      </c>
      <c r="L9" s="26" t="n">
        <f aca="false">G9-H9-I9-J9-K9</f>
        <v>93.9443</v>
      </c>
      <c r="M9" s="25" t="n">
        <f aca="false">L9-L8</f>
        <v>4.49400000000001</v>
      </c>
    </row>
    <row r="10" customFormat="false" ht="15" hidden="false" customHeight="false" outlineLevel="0" collapsed="false">
      <c r="A10" s="23" t="s">
        <v>82</v>
      </c>
      <c r="B10" s="24" t="n">
        <v>2</v>
      </c>
      <c r="C10" s="23" t="s">
        <v>85</v>
      </c>
      <c r="D10" s="25" t="n">
        <f aca="false">B10*Annahmen!$B$3</f>
        <v>149.8</v>
      </c>
      <c r="E10" s="25" t="n">
        <f aca="false">MIN((IF(B10&gt;=10,10*Annahmen!$B$3*(1-Annahmen!$B$12)+(B10-10)*Annahmen!$B$3,IF(B10&gt;=5,5*Annahmen!$B$3*(1-Annahmen!$B$11)+(B10-5)*Annahmen!$B$3,IF(B10&gt;=3,3*Annahmen!$B$3*(1-Annahmen!$B$10)+(B10-3)*Annahmen!$B$3,B10*Annahmen!$B$3))))*(1-Annahmen!$B$9),(B10-INT(B10/3))*Annahmen!$B$3)</f>
        <v>134.82</v>
      </c>
      <c r="F10" s="25" t="n">
        <f aca="false">IF(E10&gt;=Annahmen!$B$14,0,Annahmen!$B$13)</f>
        <v>4.9</v>
      </c>
      <c r="G10" s="25" t="n">
        <f aca="false">E10+F10</f>
        <v>139.72</v>
      </c>
      <c r="H10" s="25" t="n">
        <f aca="false">B10*Annahmen!$B$6</f>
        <v>16.9157</v>
      </c>
      <c r="I10" s="25" t="n">
        <f aca="false">IF(E10&gt;=200,Annahmen!$B$17,0)+IF(E10&gt;=350,Annahmen!$B$18,0)+IF(E10&gt;=500,Annahmen!$B$19,0)</f>
        <v>0</v>
      </c>
      <c r="J10" s="25" t="n">
        <f aca="false">E10*(Annahmen!$B$7+Annahmen!$B$8)</f>
        <v>33.705</v>
      </c>
      <c r="K10" s="25" t="n">
        <f aca="false">Annahmen!$B$15+Annahmen!$B$16</f>
        <v>6.39</v>
      </c>
      <c r="L10" s="26" t="n">
        <f aca="false">G10-H10-I10-J10-K10</f>
        <v>82.7093</v>
      </c>
      <c r="M10" s="25" t="n">
        <f aca="false">L10-L8</f>
        <v>-6.74099999999999</v>
      </c>
    </row>
    <row r="11" customFormat="false" ht="15" hidden="false" customHeight="false" outlineLevel="0" collapsed="false">
      <c r="A11" s="4" t="s">
        <v>82</v>
      </c>
      <c r="B11" s="22" t="n">
        <v>3</v>
      </c>
      <c r="C11" s="4" t="s">
        <v>83</v>
      </c>
      <c r="D11" s="8" t="n">
        <f aca="false">B11*Annahmen!$B$3</f>
        <v>224.7</v>
      </c>
      <c r="E11" s="8" t="n">
        <f aca="false">(IF(B11&gt;=10,10*Annahmen!$B$3*(1-Annahmen!$B$12)+(B11-10)*Annahmen!$B$3,IF(B11&gt;=5,5*Annahmen!$B$3*(1-Annahmen!$B$11)+(B11-5)*Annahmen!$B$3,IF(B11&gt;=3,3*Annahmen!$B$3*(1-Annahmen!$B$10)+(B11-3)*Annahmen!$B$3,B11*Annahmen!$B$3))))*(1-Annahmen!$B$9)</f>
        <v>182.007</v>
      </c>
      <c r="F11" s="8" t="n">
        <f aca="false">IF(E11&gt;=Annahmen!$B$14,0,Annahmen!$B$13)</f>
        <v>0</v>
      </c>
      <c r="G11" s="8" t="n">
        <f aca="false">E11+F11</f>
        <v>182.007</v>
      </c>
      <c r="H11" s="8" t="n">
        <f aca="false">B11*Annahmen!$B$6</f>
        <v>25.37355</v>
      </c>
      <c r="I11" s="8" t="n">
        <f aca="false">IF(E11&gt;=200,Annahmen!$B$17,0)+IF(E11&gt;=350,Annahmen!$B$18,0)+IF(E11&gt;=500,Annahmen!$B$19,0)</f>
        <v>0</v>
      </c>
      <c r="J11" s="8" t="n">
        <f aca="false">E11*Annahmen!$B$7</f>
        <v>36.4014</v>
      </c>
      <c r="K11" s="8" t="n">
        <f aca="false">Annahmen!$B$15+Annahmen!$B$16</f>
        <v>6.39</v>
      </c>
      <c r="L11" s="9" t="n">
        <f aca="false">G11-H11-I11-J11-K11</f>
        <v>113.84205</v>
      </c>
      <c r="M11" s="8"/>
    </row>
    <row r="12" customFormat="false" ht="15" hidden="false" customHeight="false" outlineLevel="0" collapsed="false">
      <c r="A12" s="23" t="s">
        <v>82</v>
      </c>
      <c r="B12" s="24" t="n">
        <v>3</v>
      </c>
      <c r="C12" s="23" t="s">
        <v>84</v>
      </c>
      <c r="D12" s="25" t="n">
        <f aca="false">B12*Annahmen!$B$3</f>
        <v>224.7</v>
      </c>
      <c r="E12" s="25" t="n">
        <f aca="false">(B12-INT(B12/3))*Annahmen!$B$3</f>
        <v>149.8</v>
      </c>
      <c r="F12" s="25" t="n">
        <f aca="false">IF(E12&gt;=Annahmen!$B$14,0,Annahmen!$B$13)</f>
        <v>4.9</v>
      </c>
      <c r="G12" s="25" t="n">
        <f aca="false">E12+F12</f>
        <v>154.7</v>
      </c>
      <c r="H12" s="25" t="n">
        <f aca="false">B12*Annahmen!$B$6</f>
        <v>25.37355</v>
      </c>
      <c r="I12" s="25" t="n">
        <f aca="false">IF(E12&gt;=200,Annahmen!$B$17,0)+IF(E12&gt;=350,Annahmen!$B$18,0)+IF(E12&gt;=500,Annahmen!$B$19,0)</f>
        <v>0</v>
      </c>
      <c r="J12" s="25" t="n">
        <f aca="false">E12*(Annahmen!$B$7+Annahmen!$B$8)</f>
        <v>37.45</v>
      </c>
      <c r="K12" s="25" t="n">
        <f aca="false">Annahmen!$B$15+Annahmen!$B$16</f>
        <v>6.39</v>
      </c>
      <c r="L12" s="26" t="n">
        <f aca="false">G12-H12-I12-J12-K12</f>
        <v>85.48645</v>
      </c>
      <c r="M12" s="25" t="n">
        <f aca="false">L12-L11</f>
        <v>-28.3556</v>
      </c>
    </row>
    <row r="13" customFormat="false" ht="15" hidden="false" customHeight="false" outlineLevel="0" collapsed="false">
      <c r="A13" s="23" t="s">
        <v>82</v>
      </c>
      <c r="B13" s="24" t="n">
        <v>3</v>
      </c>
      <c r="C13" s="23" t="s">
        <v>85</v>
      </c>
      <c r="D13" s="25" t="n">
        <f aca="false">B13*Annahmen!$B$3</f>
        <v>224.7</v>
      </c>
      <c r="E13" s="25" t="n">
        <f aca="false">MIN((IF(B13&gt;=10,10*Annahmen!$B$3*(1-Annahmen!$B$12)+(B13-10)*Annahmen!$B$3,IF(B13&gt;=5,5*Annahmen!$B$3*(1-Annahmen!$B$11)+(B13-5)*Annahmen!$B$3,IF(B13&gt;=3,3*Annahmen!$B$3*(1-Annahmen!$B$10)+(B13-3)*Annahmen!$B$3,B13*Annahmen!$B$3))))*(1-Annahmen!$B$9),(B13-INT(B13/3))*Annahmen!$B$3)</f>
        <v>149.8</v>
      </c>
      <c r="F13" s="25" t="n">
        <f aca="false">IF(E13&gt;=Annahmen!$B$14,0,Annahmen!$B$13)</f>
        <v>4.9</v>
      </c>
      <c r="G13" s="25" t="n">
        <f aca="false">E13+F13</f>
        <v>154.7</v>
      </c>
      <c r="H13" s="25" t="n">
        <f aca="false">B13*Annahmen!$B$6</f>
        <v>25.37355</v>
      </c>
      <c r="I13" s="25" t="n">
        <f aca="false">IF(E13&gt;=200,Annahmen!$B$17,0)+IF(E13&gt;=350,Annahmen!$B$18,0)+IF(E13&gt;=500,Annahmen!$B$19,0)</f>
        <v>0</v>
      </c>
      <c r="J13" s="25" t="n">
        <f aca="false">E13*(Annahmen!$B$7+Annahmen!$B$8)</f>
        <v>37.45</v>
      </c>
      <c r="K13" s="25" t="n">
        <f aca="false">Annahmen!$B$15+Annahmen!$B$16</f>
        <v>6.39</v>
      </c>
      <c r="L13" s="26" t="n">
        <f aca="false">G13-H13-I13-J13-K13</f>
        <v>85.48645</v>
      </c>
      <c r="M13" s="25" t="n">
        <f aca="false">L13-L11</f>
        <v>-28.3556</v>
      </c>
    </row>
    <row r="14" customFormat="false" ht="15" hidden="false" customHeight="false" outlineLevel="0" collapsed="false">
      <c r="A14" s="4" t="s">
        <v>82</v>
      </c>
      <c r="B14" s="22" t="n">
        <v>6</v>
      </c>
      <c r="C14" s="4" t="s">
        <v>83</v>
      </c>
      <c r="D14" s="8" t="n">
        <f aca="false">B14*Annahmen!$B$3</f>
        <v>449.4</v>
      </c>
      <c r="E14" s="8" t="n">
        <f aca="false">(IF(B14&gt;=10,10*Annahmen!$B$3*(1-Annahmen!$B$12)+(B14-10)*Annahmen!$B$3,IF(B14&gt;=5,5*Annahmen!$B$3*(1-Annahmen!$B$11)+(B14-5)*Annahmen!$B$3,IF(B14&gt;=3,3*Annahmen!$B$3*(1-Annahmen!$B$10)+(B14-3)*Annahmen!$B$3,B14*Annahmen!$B$3))))*(1-Annahmen!$B$9)</f>
        <v>353.9025</v>
      </c>
      <c r="F14" s="8" t="n">
        <f aca="false">IF(E14&gt;=Annahmen!$B$14,0,Annahmen!$B$13)</f>
        <v>0</v>
      </c>
      <c r="G14" s="8" t="n">
        <f aca="false">E14+F14</f>
        <v>353.9025</v>
      </c>
      <c r="H14" s="8" t="n">
        <f aca="false">B14*Annahmen!$B$6</f>
        <v>50.7471</v>
      </c>
      <c r="I14" s="8" t="n">
        <f aca="false">IF(E14&gt;=200,Annahmen!$B$17,0)+IF(E14&gt;=350,Annahmen!$B$18,0)+IF(E14&gt;=500,Annahmen!$B$19,0)</f>
        <v>6.9726</v>
      </c>
      <c r="J14" s="8" t="n">
        <f aca="false">E14*Annahmen!$B$7</f>
        <v>70.7805</v>
      </c>
      <c r="K14" s="8" t="n">
        <f aca="false">Annahmen!$B$15+Annahmen!$B$16</f>
        <v>6.39</v>
      </c>
      <c r="L14" s="9" t="n">
        <f aca="false">G14-H14-I14-J14-K14</f>
        <v>219.0123</v>
      </c>
      <c r="M14" s="8"/>
    </row>
    <row r="15" customFormat="false" ht="15" hidden="false" customHeight="false" outlineLevel="0" collapsed="false">
      <c r="A15" s="23" t="s">
        <v>82</v>
      </c>
      <c r="B15" s="24" t="n">
        <v>6</v>
      </c>
      <c r="C15" s="23" t="s">
        <v>84</v>
      </c>
      <c r="D15" s="25" t="n">
        <f aca="false">B15*Annahmen!$B$3</f>
        <v>449.4</v>
      </c>
      <c r="E15" s="25" t="n">
        <f aca="false">(B15-INT(B15/3))*Annahmen!$B$3</f>
        <v>299.6</v>
      </c>
      <c r="F15" s="25" t="n">
        <f aca="false">IF(E15&gt;=Annahmen!$B$14,0,Annahmen!$B$13)</f>
        <v>0</v>
      </c>
      <c r="G15" s="25" t="n">
        <f aca="false">E15+F15</f>
        <v>299.6</v>
      </c>
      <c r="H15" s="25" t="n">
        <f aca="false">B15*Annahmen!$B$6</f>
        <v>50.7471</v>
      </c>
      <c r="I15" s="25" t="n">
        <f aca="false">IF(E15&gt;=200,Annahmen!$B$17,0)+IF(E15&gt;=350,Annahmen!$B$18,0)+IF(E15&gt;=500,Annahmen!$B$19,0)</f>
        <v>4.0346</v>
      </c>
      <c r="J15" s="25" t="n">
        <f aca="false">E15*(Annahmen!$B$7+Annahmen!$B$8)</f>
        <v>74.9</v>
      </c>
      <c r="K15" s="25" t="n">
        <f aca="false">Annahmen!$B$15+Annahmen!$B$16</f>
        <v>6.39</v>
      </c>
      <c r="L15" s="26" t="n">
        <f aca="false">G15-H15-I15-J15-K15</f>
        <v>163.5283</v>
      </c>
      <c r="M15" s="25" t="n">
        <f aca="false">L15-L14</f>
        <v>-55.484</v>
      </c>
    </row>
    <row r="16" customFormat="false" ht="15" hidden="false" customHeight="false" outlineLevel="0" collapsed="false">
      <c r="A16" s="23" t="s">
        <v>82</v>
      </c>
      <c r="B16" s="24" t="n">
        <v>6</v>
      </c>
      <c r="C16" s="23" t="s">
        <v>85</v>
      </c>
      <c r="D16" s="25" t="n">
        <f aca="false">B16*Annahmen!$B$3</f>
        <v>449.4</v>
      </c>
      <c r="E16" s="25" t="n">
        <f aca="false">MIN((IF(B16&gt;=10,10*Annahmen!$B$3*(1-Annahmen!$B$12)+(B16-10)*Annahmen!$B$3,IF(B16&gt;=5,5*Annahmen!$B$3*(1-Annahmen!$B$11)+(B16-5)*Annahmen!$B$3,IF(B16&gt;=3,3*Annahmen!$B$3*(1-Annahmen!$B$10)+(B16-3)*Annahmen!$B$3,B16*Annahmen!$B$3))))*(1-Annahmen!$B$9),(B16-INT(B16/3))*Annahmen!$B$3)</f>
        <v>299.6</v>
      </c>
      <c r="F16" s="25" t="n">
        <f aca="false">IF(E16&gt;=Annahmen!$B$14,0,Annahmen!$B$13)</f>
        <v>0</v>
      </c>
      <c r="G16" s="25" t="n">
        <f aca="false">E16+F16</f>
        <v>299.6</v>
      </c>
      <c r="H16" s="25" t="n">
        <f aca="false">B16*Annahmen!$B$6</f>
        <v>50.7471</v>
      </c>
      <c r="I16" s="25" t="n">
        <f aca="false">IF(E16&gt;=200,Annahmen!$B$17,0)+IF(E16&gt;=350,Annahmen!$B$18,0)+IF(E16&gt;=500,Annahmen!$B$19,0)</f>
        <v>4.0346</v>
      </c>
      <c r="J16" s="25" t="n">
        <f aca="false">E16*(Annahmen!$B$7+Annahmen!$B$8)</f>
        <v>74.9</v>
      </c>
      <c r="K16" s="25" t="n">
        <f aca="false">Annahmen!$B$15+Annahmen!$B$16</f>
        <v>6.39</v>
      </c>
      <c r="L16" s="26" t="n">
        <f aca="false">G16-H16-I16-J16-K16</f>
        <v>163.5283</v>
      </c>
      <c r="M16" s="25" t="n">
        <f aca="false">L16-L14</f>
        <v>-55.484</v>
      </c>
    </row>
    <row r="17" customFormat="false" ht="15" hidden="false" customHeight="false" outlineLevel="0" collapsed="false">
      <c r="A17" s="4" t="s">
        <v>82</v>
      </c>
      <c r="B17" s="22" t="n">
        <v>9</v>
      </c>
      <c r="C17" s="4" t="s">
        <v>83</v>
      </c>
      <c r="D17" s="8" t="n">
        <f aca="false">B17*Annahmen!$B$3</f>
        <v>674.1</v>
      </c>
      <c r="E17" s="8" t="n">
        <f aca="false">(IF(B17&gt;=10,10*Annahmen!$B$3*(1-Annahmen!$B$12)+(B17-10)*Annahmen!$B$3,IF(B17&gt;=5,5*Annahmen!$B$3*(1-Annahmen!$B$11)+(B17-5)*Annahmen!$B$3,IF(B17&gt;=3,3*Annahmen!$B$3*(1-Annahmen!$B$10)+(B17-3)*Annahmen!$B$3,B17*Annahmen!$B$3))))*(1-Annahmen!$B$9)</f>
        <v>556.1325</v>
      </c>
      <c r="F17" s="8" t="n">
        <f aca="false">IF(E17&gt;=Annahmen!$B$14,0,Annahmen!$B$13)</f>
        <v>0</v>
      </c>
      <c r="G17" s="8" t="n">
        <f aca="false">E17+F17</f>
        <v>556.1325</v>
      </c>
      <c r="H17" s="8" t="n">
        <f aca="false">B17*Annahmen!$B$6</f>
        <v>76.12065</v>
      </c>
      <c r="I17" s="8" t="n">
        <f aca="false">IF(E17&gt;=200,Annahmen!$B$17,0)+IF(E17&gt;=350,Annahmen!$B$18,0)+IF(E17&gt;=500,Annahmen!$B$19,0)</f>
        <v>15.43045</v>
      </c>
      <c r="J17" s="8" t="n">
        <f aca="false">E17*Annahmen!$B$7</f>
        <v>111.2265</v>
      </c>
      <c r="K17" s="8" t="n">
        <f aca="false">Annahmen!$B$15+Annahmen!$B$16</f>
        <v>6.39</v>
      </c>
      <c r="L17" s="9" t="n">
        <f aca="false">G17-H17-I17-J17-K17</f>
        <v>346.9649</v>
      </c>
      <c r="M17" s="8"/>
    </row>
    <row r="18" customFormat="false" ht="15" hidden="false" customHeight="false" outlineLevel="0" collapsed="false">
      <c r="A18" s="23" t="s">
        <v>82</v>
      </c>
      <c r="B18" s="24" t="n">
        <v>9</v>
      </c>
      <c r="C18" s="23" t="s">
        <v>84</v>
      </c>
      <c r="D18" s="25" t="n">
        <f aca="false">B18*Annahmen!$B$3</f>
        <v>674.1</v>
      </c>
      <c r="E18" s="25" t="n">
        <f aca="false">(B18-INT(B18/3))*Annahmen!$B$3</f>
        <v>449.4</v>
      </c>
      <c r="F18" s="25" t="n">
        <f aca="false">IF(E18&gt;=Annahmen!$B$14,0,Annahmen!$B$13)</f>
        <v>0</v>
      </c>
      <c r="G18" s="25" t="n">
        <f aca="false">E18+F18</f>
        <v>449.4</v>
      </c>
      <c r="H18" s="25" t="n">
        <f aca="false">B18*Annahmen!$B$6</f>
        <v>76.12065</v>
      </c>
      <c r="I18" s="25" t="n">
        <f aca="false">IF(E18&gt;=200,Annahmen!$B$17,0)+IF(E18&gt;=350,Annahmen!$B$18,0)+IF(E18&gt;=500,Annahmen!$B$19,0)</f>
        <v>6.9726</v>
      </c>
      <c r="J18" s="25" t="n">
        <f aca="false">E18*(Annahmen!$B$7+Annahmen!$B$8)</f>
        <v>112.35</v>
      </c>
      <c r="K18" s="25" t="n">
        <f aca="false">Annahmen!$B$15+Annahmen!$B$16</f>
        <v>6.39</v>
      </c>
      <c r="L18" s="26" t="n">
        <f aca="false">G18-H18-I18-J18-K18</f>
        <v>247.56675</v>
      </c>
      <c r="M18" s="25" t="n">
        <f aca="false">L18-L17</f>
        <v>-99.3981499999999</v>
      </c>
    </row>
    <row r="19" customFormat="false" ht="15" hidden="false" customHeight="false" outlineLevel="0" collapsed="false">
      <c r="A19" s="23" t="s">
        <v>82</v>
      </c>
      <c r="B19" s="24" t="n">
        <v>9</v>
      </c>
      <c r="C19" s="23" t="s">
        <v>85</v>
      </c>
      <c r="D19" s="25" t="n">
        <f aca="false">B19*Annahmen!$B$3</f>
        <v>674.1</v>
      </c>
      <c r="E19" s="25" t="n">
        <f aca="false">MIN((IF(B19&gt;=10,10*Annahmen!$B$3*(1-Annahmen!$B$12)+(B19-10)*Annahmen!$B$3,IF(B19&gt;=5,5*Annahmen!$B$3*(1-Annahmen!$B$11)+(B19-5)*Annahmen!$B$3,IF(B19&gt;=3,3*Annahmen!$B$3*(1-Annahmen!$B$10)+(B19-3)*Annahmen!$B$3,B19*Annahmen!$B$3))))*(1-Annahmen!$B$9),(B19-INT(B19/3))*Annahmen!$B$3)</f>
        <v>449.4</v>
      </c>
      <c r="F19" s="25" t="n">
        <f aca="false">IF(E19&gt;=Annahmen!$B$14,0,Annahmen!$B$13)</f>
        <v>0</v>
      </c>
      <c r="G19" s="25" t="n">
        <f aca="false">E19+F19</f>
        <v>449.4</v>
      </c>
      <c r="H19" s="25" t="n">
        <f aca="false">B19*Annahmen!$B$6</f>
        <v>76.12065</v>
      </c>
      <c r="I19" s="25" t="n">
        <f aca="false">IF(E19&gt;=200,Annahmen!$B$17,0)+IF(E19&gt;=350,Annahmen!$B$18,0)+IF(E19&gt;=500,Annahmen!$B$19,0)</f>
        <v>6.9726</v>
      </c>
      <c r="J19" s="25" t="n">
        <f aca="false">E19*(Annahmen!$B$7+Annahmen!$B$8)</f>
        <v>112.35</v>
      </c>
      <c r="K19" s="25" t="n">
        <f aca="false">Annahmen!$B$15+Annahmen!$B$16</f>
        <v>6.39</v>
      </c>
      <c r="L19" s="26" t="n">
        <f aca="false">G19-H19-I19-J19-K19</f>
        <v>247.56675</v>
      </c>
      <c r="M19" s="25" t="n">
        <f aca="false">L19-L17</f>
        <v>-99.3981499999999</v>
      </c>
    </row>
    <row r="20" customFormat="false" ht="15" hidden="false" customHeight="false" outlineLevel="0" collapsed="false">
      <c r="A20" s="4" t="s">
        <v>86</v>
      </c>
      <c r="B20" s="22" t="n">
        <v>1</v>
      </c>
      <c r="C20" s="4" t="s">
        <v>83</v>
      </c>
      <c r="D20" s="8" t="n">
        <f aca="false">B20*Annahmen!$B$3</f>
        <v>74.9</v>
      </c>
      <c r="E20" s="8" t="n">
        <f aca="false">(IF(B20&gt;=10,10*Annahmen!$B$3*(1-Annahmen!$B$12)+(B20-10)*Annahmen!$B$3,IF(B20&gt;=5,5*Annahmen!$B$3*(1-Annahmen!$B$11)+(B20-5)*Annahmen!$B$3,IF(B20&gt;=3,3*Annahmen!$B$3*(1-Annahmen!$B$10)+(B20-3)*Annahmen!$B$3,B20*Annahmen!$B$3))))</f>
        <v>74.9</v>
      </c>
      <c r="F20" s="8" t="n">
        <f aca="false">IF(E20&gt;=Annahmen!$B$14,0,Annahmen!$B$13)</f>
        <v>4.9</v>
      </c>
      <c r="G20" s="8" t="n">
        <f aca="false">E20+F20</f>
        <v>79.8</v>
      </c>
      <c r="H20" s="8" t="n">
        <f aca="false">B20*Annahmen!$B$6</f>
        <v>8.45785</v>
      </c>
      <c r="I20" s="8" t="n">
        <f aca="false">IF(E20&gt;=200,Annahmen!$B$17,0)+IF(E20&gt;=350,Annahmen!$B$18,0)+IF(E20&gt;=500,Annahmen!$B$19,0)</f>
        <v>0</v>
      </c>
      <c r="J20" s="8" t="n">
        <v>0</v>
      </c>
      <c r="K20" s="8" t="n">
        <f aca="false">Annahmen!$B$15+Annahmen!$B$16</f>
        <v>6.39</v>
      </c>
      <c r="L20" s="9" t="n">
        <f aca="false">G20-H20-I20-J20-K20</f>
        <v>64.95215</v>
      </c>
      <c r="M20" s="8"/>
    </row>
    <row r="21" customFormat="false" ht="15" hidden="false" customHeight="false" outlineLevel="0" collapsed="false">
      <c r="A21" s="23" t="s">
        <v>86</v>
      </c>
      <c r="B21" s="24" t="n">
        <v>1</v>
      </c>
      <c r="C21" s="23" t="s">
        <v>84</v>
      </c>
      <c r="D21" s="25" t="n">
        <f aca="false">B21*Annahmen!$B$3</f>
        <v>74.9</v>
      </c>
      <c r="E21" s="25" t="n">
        <f aca="false">(B21-INT(B21/3))*Annahmen!$B$3</f>
        <v>74.9</v>
      </c>
      <c r="F21" s="25" t="n">
        <f aca="false">IF(E21&gt;=Annahmen!$B$14,0,Annahmen!$B$13)</f>
        <v>4.9</v>
      </c>
      <c r="G21" s="25" t="n">
        <f aca="false">E21+F21</f>
        <v>79.8</v>
      </c>
      <c r="H21" s="25" t="n">
        <f aca="false">B21*Annahmen!$B$6</f>
        <v>8.45785</v>
      </c>
      <c r="I21" s="25" t="n">
        <f aca="false">IF(E21&gt;=200,Annahmen!$B$17,0)+IF(E21&gt;=350,Annahmen!$B$18,0)+IF(E21&gt;=500,Annahmen!$B$19,0)</f>
        <v>0</v>
      </c>
      <c r="J21" s="25" t="n">
        <v>0</v>
      </c>
      <c r="K21" s="25" t="n">
        <f aca="false">Annahmen!$B$15+Annahmen!$B$16</f>
        <v>6.39</v>
      </c>
      <c r="L21" s="26" t="n">
        <f aca="false">G21-H21-I21-J21-K21</f>
        <v>64.95215</v>
      </c>
      <c r="M21" s="25" t="n">
        <f aca="false">L21-L20</f>
        <v>0</v>
      </c>
    </row>
    <row r="22" customFormat="false" ht="15" hidden="false" customHeight="false" outlineLevel="0" collapsed="false">
      <c r="A22" s="4" t="s">
        <v>86</v>
      </c>
      <c r="B22" s="22" t="n">
        <v>2</v>
      </c>
      <c r="C22" s="4" t="s">
        <v>83</v>
      </c>
      <c r="D22" s="8" t="n">
        <f aca="false">B22*Annahmen!$B$3</f>
        <v>149.8</v>
      </c>
      <c r="E22" s="8" t="n">
        <f aca="false">(IF(B22&gt;=10,10*Annahmen!$B$3*(1-Annahmen!$B$12)+(B22-10)*Annahmen!$B$3,IF(B22&gt;=5,5*Annahmen!$B$3*(1-Annahmen!$B$11)+(B22-5)*Annahmen!$B$3,IF(B22&gt;=3,3*Annahmen!$B$3*(1-Annahmen!$B$10)+(B22-3)*Annahmen!$B$3,B22*Annahmen!$B$3))))</f>
        <v>149.8</v>
      </c>
      <c r="F22" s="8" t="n">
        <f aca="false">IF(E22&gt;=Annahmen!$B$14,0,Annahmen!$B$13)</f>
        <v>4.9</v>
      </c>
      <c r="G22" s="8" t="n">
        <f aca="false">E22+F22</f>
        <v>154.7</v>
      </c>
      <c r="H22" s="8" t="n">
        <f aca="false">B22*Annahmen!$B$6</f>
        <v>16.9157</v>
      </c>
      <c r="I22" s="8" t="n">
        <f aca="false">IF(E22&gt;=200,Annahmen!$B$17,0)+IF(E22&gt;=350,Annahmen!$B$18,0)+IF(E22&gt;=500,Annahmen!$B$19,0)</f>
        <v>0</v>
      </c>
      <c r="J22" s="8" t="n">
        <v>0</v>
      </c>
      <c r="K22" s="8" t="n">
        <f aca="false">Annahmen!$B$15+Annahmen!$B$16</f>
        <v>6.39</v>
      </c>
      <c r="L22" s="9" t="n">
        <f aca="false">G22-H22-I22-J22-K22</f>
        <v>131.3943</v>
      </c>
      <c r="M22" s="8"/>
    </row>
    <row r="23" customFormat="false" ht="15" hidden="false" customHeight="false" outlineLevel="0" collapsed="false">
      <c r="A23" s="23" t="s">
        <v>86</v>
      </c>
      <c r="B23" s="24" t="n">
        <v>2</v>
      </c>
      <c r="C23" s="23" t="s">
        <v>84</v>
      </c>
      <c r="D23" s="25" t="n">
        <f aca="false">B23*Annahmen!$B$3</f>
        <v>149.8</v>
      </c>
      <c r="E23" s="25" t="n">
        <f aca="false">(B23-INT(B23/3))*Annahmen!$B$3</f>
        <v>149.8</v>
      </c>
      <c r="F23" s="25" t="n">
        <f aca="false">IF(E23&gt;=Annahmen!$B$14,0,Annahmen!$B$13)</f>
        <v>4.9</v>
      </c>
      <c r="G23" s="25" t="n">
        <f aca="false">E23+F23</f>
        <v>154.7</v>
      </c>
      <c r="H23" s="25" t="n">
        <f aca="false">B23*Annahmen!$B$6</f>
        <v>16.9157</v>
      </c>
      <c r="I23" s="25" t="n">
        <f aca="false">IF(E23&gt;=200,Annahmen!$B$17,0)+IF(E23&gt;=350,Annahmen!$B$18,0)+IF(E23&gt;=500,Annahmen!$B$19,0)</f>
        <v>0</v>
      </c>
      <c r="J23" s="25" t="n">
        <v>0</v>
      </c>
      <c r="K23" s="25" t="n">
        <f aca="false">Annahmen!$B$15+Annahmen!$B$16</f>
        <v>6.39</v>
      </c>
      <c r="L23" s="26" t="n">
        <f aca="false">G23-H23-I23-J23-K23</f>
        <v>131.3943</v>
      </c>
      <c r="M23" s="25" t="n">
        <f aca="false">L23-L22</f>
        <v>0</v>
      </c>
    </row>
    <row r="24" customFormat="false" ht="15" hidden="false" customHeight="false" outlineLevel="0" collapsed="false">
      <c r="A24" s="4" t="s">
        <v>86</v>
      </c>
      <c r="B24" s="22" t="n">
        <v>3</v>
      </c>
      <c r="C24" s="4" t="s">
        <v>83</v>
      </c>
      <c r="D24" s="8" t="n">
        <f aca="false">B24*Annahmen!$B$3</f>
        <v>224.7</v>
      </c>
      <c r="E24" s="8" t="n">
        <f aca="false">(IF(B24&gt;=10,10*Annahmen!$B$3*(1-Annahmen!$B$12)+(B24-10)*Annahmen!$B$3,IF(B24&gt;=5,5*Annahmen!$B$3*(1-Annahmen!$B$11)+(B24-5)*Annahmen!$B$3,IF(B24&gt;=3,3*Annahmen!$B$3*(1-Annahmen!$B$10)+(B24-3)*Annahmen!$B$3,B24*Annahmen!$B$3))))</f>
        <v>202.23</v>
      </c>
      <c r="F24" s="8" t="n">
        <f aca="false">IF(E24&gt;=Annahmen!$B$14,0,Annahmen!$B$13)</f>
        <v>0</v>
      </c>
      <c r="G24" s="8" t="n">
        <f aca="false">E24+F24</f>
        <v>202.23</v>
      </c>
      <c r="H24" s="8" t="n">
        <f aca="false">B24*Annahmen!$B$6</f>
        <v>25.37355</v>
      </c>
      <c r="I24" s="8" t="n">
        <f aca="false">IF(E24&gt;=200,Annahmen!$B$17,0)+IF(E24&gt;=350,Annahmen!$B$18,0)+IF(E24&gt;=500,Annahmen!$B$19,0)</f>
        <v>4.0346</v>
      </c>
      <c r="J24" s="8" t="n">
        <v>0</v>
      </c>
      <c r="K24" s="8" t="n">
        <f aca="false">Annahmen!$B$15+Annahmen!$B$16</f>
        <v>6.39</v>
      </c>
      <c r="L24" s="9" t="n">
        <f aca="false">G24-H24-I24-J24-K24</f>
        <v>166.43185</v>
      </c>
      <c r="M24" s="8"/>
    </row>
    <row r="25" customFormat="false" ht="15" hidden="false" customHeight="false" outlineLevel="0" collapsed="false">
      <c r="A25" s="23" t="s">
        <v>86</v>
      </c>
      <c r="B25" s="24" t="n">
        <v>3</v>
      </c>
      <c r="C25" s="23" t="s">
        <v>84</v>
      </c>
      <c r="D25" s="25" t="n">
        <f aca="false">B25*Annahmen!$B$3</f>
        <v>224.7</v>
      </c>
      <c r="E25" s="25" t="n">
        <f aca="false">(B25-INT(B25/3))*Annahmen!$B$3</f>
        <v>149.8</v>
      </c>
      <c r="F25" s="25" t="n">
        <f aca="false">IF(E25&gt;=Annahmen!$B$14,0,Annahmen!$B$13)</f>
        <v>4.9</v>
      </c>
      <c r="G25" s="25" t="n">
        <f aca="false">E25+F25</f>
        <v>154.7</v>
      </c>
      <c r="H25" s="25" t="n">
        <f aca="false">B25*Annahmen!$B$6</f>
        <v>25.37355</v>
      </c>
      <c r="I25" s="25" t="n">
        <f aca="false">IF(E25&gt;=200,Annahmen!$B$17,0)+IF(E25&gt;=350,Annahmen!$B$18,0)+IF(E25&gt;=500,Annahmen!$B$19,0)</f>
        <v>0</v>
      </c>
      <c r="J25" s="25" t="n">
        <v>0</v>
      </c>
      <c r="K25" s="25" t="n">
        <f aca="false">Annahmen!$B$15+Annahmen!$B$16</f>
        <v>6.39</v>
      </c>
      <c r="L25" s="26" t="n">
        <f aca="false">G25-H25-I25-J25-K25</f>
        <v>122.93645</v>
      </c>
      <c r="M25" s="25" t="n">
        <f aca="false">L25-L24</f>
        <v>-43.4954</v>
      </c>
    </row>
    <row r="26" customFormat="false" ht="15" hidden="false" customHeight="false" outlineLevel="0" collapsed="false">
      <c r="A26" s="4" t="s">
        <v>86</v>
      </c>
      <c r="B26" s="22" t="n">
        <v>6</v>
      </c>
      <c r="C26" s="4" t="s">
        <v>83</v>
      </c>
      <c r="D26" s="8" t="n">
        <f aca="false">B26*Annahmen!$B$3</f>
        <v>449.4</v>
      </c>
      <c r="E26" s="8" t="n">
        <f aca="false">(IF(B26&gt;=10,10*Annahmen!$B$3*(1-Annahmen!$B$12)+(B26-10)*Annahmen!$B$3,IF(B26&gt;=5,5*Annahmen!$B$3*(1-Annahmen!$B$11)+(B26-5)*Annahmen!$B$3,IF(B26&gt;=3,3*Annahmen!$B$3*(1-Annahmen!$B$10)+(B26-3)*Annahmen!$B$3,B26*Annahmen!$B$3))))</f>
        <v>393.225</v>
      </c>
      <c r="F26" s="8" t="n">
        <f aca="false">IF(E26&gt;=Annahmen!$B$14,0,Annahmen!$B$13)</f>
        <v>0</v>
      </c>
      <c r="G26" s="8" t="n">
        <f aca="false">E26+F26</f>
        <v>393.225</v>
      </c>
      <c r="H26" s="8" t="n">
        <f aca="false">B26*Annahmen!$B$6</f>
        <v>50.7471</v>
      </c>
      <c r="I26" s="8" t="n">
        <f aca="false">IF(E26&gt;=200,Annahmen!$B$17,0)+IF(E26&gt;=350,Annahmen!$B$18,0)+IF(E26&gt;=500,Annahmen!$B$19,0)</f>
        <v>6.9726</v>
      </c>
      <c r="J26" s="8" t="n">
        <v>0</v>
      </c>
      <c r="K26" s="8" t="n">
        <f aca="false">Annahmen!$B$15+Annahmen!$B$16</f>
        <v>6.39</v>
      </c>
      <c r="L26" s="9" t="n">
        <f aca="false">G26-H26-I26-J26-K26</f>
        <v>329.1153</v>
      </c>
      <c r="M26" s="8"/>
    </row>
    <row r="27" customFormat="false" ht="15" hidden="false" customHeight="false" outlineLevel="0" collapsed="false">
      <c r="A27" s="23" t="s">
        <v>86</v>
      </c>
      <c r="B27" s="24" t="n">
        <v>6</v>
      </c>
      <c r="C27" s="23" t="s">
        <v>84</v>
      </c>
      <c r="D27" s="25" t="n">
        <f aca="false">B27*Annahmen!$B$3</f>
        <v>449.4</v>
      </c>
      <c r="E27" s="25" t="n">
        <f aca="false">(B27-INT(B27/3))*Annahmen!$B$3</f>
        <v>299.6</v>
      </c>
      <c r="F27" s="25" t="n">
        <f aca="false">IF(E27&gt;=Annahmen!$B$14,0,Annahmen!$B$13)</f>
        <v>0</v>
      </c>
      <c r="G27" s="25" t="n">
        <f aca="false">E27+F27</f>
        <v>299.6</v>
      </c>
      <c r="H27" s="25" t="n">
        <f aca="false">B27*Annahmen!$B$6</f>
        <v>50.7471</v>
      </c>
      <c r="I27" s="25" t="n">
        <f aca="false">IF(E27&gt;=200,Annahmen!$B$17,0)+IF(E27&gt;=350,Annahmen!$B$18,0)+IF(E27&gt;=500,Annahmen!$B$19,0)</f>
        <v>4.0346</v>
      </c>
      <c r="J27" s="25" t="n">
        <v>0</v>
      </c>
      <c r="K27" s="25" t="n">
        <f aca="false">Annahmen!$B$15+Annahmen!$B$16</f>
        <v>6.39</v>
      </c>
      <c r="L27" s="26" t="n">
        <f aca="false">G27-H27-I27-J27-K27</f>
        <v>238.4283</v>
      </c>
      <c r="M27" s="25" t="n">
        <f aca="false">L27-L26</f>
        <v>-90.687</v>
      </c>
    </row>
    <row r="28" customFormat="false" ht="15" hidden="false" customHeight="false" outlineLevel="0" collapsed="false">
      <c r="A28" s="4" t="s">
        <v>86</v>
      </c>
      <c r="B28" s="22" t="n">
        <v>9</v>
      </c>
      <c r="C28" s="4" t="s">
        <v>83</v>
      </c>
      <c r="D28" s="8" t="n">
        <f aca="false">B28*Annahmen!$B$3</f>
        <v>674.1</v>
      </c>
      <c r="E28" s="8" t="n">
        <f aca="false">(IF(B28&gt;=10,10*Annahmen!$B$3*(1-Annahmen!$B$12)+(B28-10)*Annahmen!$B$3,IF(B28&gt;=5,5*Annahmen!$B$3*(1-Annahmen!$B$11)+(B28-5)*Annahmen!$B$3,IF(B28&gt;=3,3*Annahmen!$B$3*(1-Annahmen!$B$10)+(B28-3)*Annahmen!$B$3,B28*Annahmen!$B$3))))</f>
        <v>617.925</v>
      </c>
      <c r="F28" s="8" t="n">
        <f aca="false">IF(E28&gt;=Annahmen!$B$14,0,Annahmen!$B$13)</f>
        <v>0</v>
      </c>
      <c r="G28" s="8" t="n">
        <f aca="false">E28+F28</f>
        <v>617.925</v>
      </c>
      <c r="H28" s="8" t="n">
        <f aca="false">B28*Annahmen!$B$6</f>
        <v>76.12065</v>
      </c>
      <c r="I28" s="8" t="n">
        <f aca="false">IF(E28&gt;=200,Annahmen!$B$17,0)+IF(E28&gt;=350,Annahmen!$B$18,0)+IF(E28&gt;=500,Annahmen!$B$19,0)</f>
        <v>15.43045</v>
      </c>
      <c r="J28" s="8" t="n">
        <v>0</v>
      </c>
      <c r="K28" s="8" t="n">
        <f aca="false">Annahmen!$B$15+Annahmen!$B$16</f>
        <v>6.39</v>
      </c>
      <c r="L28" s="9" t="n">
        <f aca="false">G28-H28-I28-J28-K28</f>
        <v>519.9839</v>
      </c>
      <c r="M28" s="8"/>
    </row>
    <row r="29" customFormat="false" ht="15" hidden="false" customHeight="false" outlineLevel="0" collapsed="false">
      <c r="A29" s="23" t="s">
        <v>86</v>
      </c>
      <c r="B29" s="24" t="n">
        <v>9</v>
      </c>
      <c r="C29" s="23" t="s">
        <v>84</v>
      </c>
      <c r="D29" s="25" t="n">
        <f aca="false">B29*Annahmen!$B$3</f>
        <v>674.1</v>
      </c>
      <c r="E29" s="25" t="n">
        <f aca="false">(B29-INT(B29/3))*Annahmen!$B$3</f>
        <v>449.4</v>
      </c>
      <c r="F29" s="25" t="n">
        <f aca="false">IF(E29&gt;=Annahmen!$B$14,0,Annahmen!$B$13)</f>
        <v>0</v>
      </c>
      <c r="G29" s="25" t="n">
        <f aca="false">E29+F29</f>
        <v>449.4</v>
      </c>
      <c r="H29" s="25" t="n">
        <f aca="false">B29*Annahmen!$B$6</f>
        <v>76.12065</v>
      </c>
      <c r="I29" s="25" t="n">
        <f aca="false">IF(E29&gt;=200,Annahmen!$B$17,0)+IF(E29&gt;=350,Annahmen!$B$18,0)+IF(E29&gt;=500,Annahmen!$B$19,0)</f>
        <v>6.9726</v>
      </c>
      <c r="J29" s="25" t="n">
        <v>0</v>
      </c>
      <c r="K29" s="25" t="n">
        <f aca="false">Annahmen!$B$15+Annahmen!$B$16</f>
        <v>6.39</v>
      </c>
      <c r="L29" s="26" t="n">
        <f aca="false">G29-H29-I29-J29-K29</f>
        <v>359.91675</v>
      </c>
      <c r="M29" s="25" t="n">
        <f aca="false">L29-L28</f>
        <v>-160.06715</v>
      </c>
    </row>
    <row r="31" customFormat="false" ht="15" hidden="false" customHeight="false" outlineLevel="0" collapsed="false">
      <c r="A31" s="3" t="s">
        <v>87</v>
      </c>
    </row>
    <row r="32" customFormat="false" ht="15" hidden="false" customHeight="false" outlineLevel="0" collapsed="false">
      <c r="A32" s="4" t="s">
        <v>88</v>
      </c>
    </row>
    <row r="33" customFormat="false" ht="15" hidden="false" customHeight="false" outlineLevel="0" collapsed="false">
      <c r="A33" s="4" t="s">
        <v>89</v>
      </c>
    </row>
    <row r="34" customFormat="false" ht="15" hidden="false" customHeight="false" outlineLevel="0" collapsed="false">
      <c r="A34" s="4" t="s">
        <v>90</v>
      </c>
    </row>
    <row r="35" customFormat="false" ht="15" hidden="false" customHeight="false" outlineLevel="0" collapsed="false">
      <c r="A35" s="4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9" min="5" style="0" width="15"/>
    <col collapsed="false" customWidth="true" hidden="false" outlineLevel="0" max="10" min="10" style="0" width="22"/>
  </cols>
  <sheetData>
    <row r="1" customFormat="false" ht="17.35" hidden="false" customHeight="false" outlineLevel="0" collapsed="false">
      <c r="A1" s="1" t="s">
        <v>92</v>
      </c>
    </row>
    <row r="2" customFormat="false" ht="15" hidden="false" customHeight="false" outlineLevel="0" collapsed="false">
      <c r="A2" s="4" t="s">
        <v>93</v>
      </c>
    </row>
    <row r="4" customFormat="false" ht="42" hidden="false" customHeight="true" outlineLevel="0" collapsed="false">
      <c r="A4" s="6" t="s">
        <v>94</v>
      </c>
      <c r="B4" s="6" t="s">
        <v>82</v>
      </c>
      <c r="C4" s="6" t="s">
        <v>95</v>
      </c>
      <c r="D4" s="6" t="s">
        <v>96</v>
      </c>
      <c r="E4" s="6" t="s">
        <v>97</v>
      </c>
      <c r="F4" s="6" t="s">
        <v>98</v>
      </c>
      <c r="G4" s="6" t="s">
        <v>99</v>
      </c>
      <c r="H4" s="6" t="s">
        <v>100</v>
      </c>
      <c r="I4" s="6" t="s">
        <v>101</v>
      </c>
      <c r="J4" s="6" t="s">
        <v>102</v>
      </c>
    </row>
    <row r="5" customFormat="false" ht="15" hidden="false" customHeight="false" outlineLevel="0" collapsed="false">
      <c r="A5" s="4" t="s">
        <v>103</v>
      </c>
      <c r="B5" s="4" t="s">
        <v>104</v>
      </c>
      <c r="C5" s="4" t="n">
        <v>1</v>
      </c>
      <c r="D5" s="4" t="n">
        <v>0</v>
      </c>
      <c r="E5" s="8" t="n">
        <v>164.7</v>
      </c>
      <c r="F5" s="8" t="n">
        <v>144.63</v>
      </c>
      <c r="G5" s="8" t="n">
        <v>164.7</v>
      </c>
      <c r="H5" s="8" t="n">
        <v>0</v>
      </c>
      <c r="I5" s="8" t="n">
        <v>144.63</v>
      </c>
      <c r="J5" s="8" t="n">
        <v>202.61</v>
      </c>
    </row>
    <row r="6" customFormat="false" ht="15" hidden="false" customHeight="false" outlineLevel="0" collapsed="false">
      <c r="A6" s="4" t="s">
        <v>105</v>
      </c>
      <c r="B6" s="4" t="s">
        <v>104</v>
      </c>
      <c r="C6" s="4" t="n">
        <v>1</v>
      </c>
      <c r="D6" s="4" t="n">
        <v>0</v>
      </c>
      <c r="E6" s="8" t="n">
        <v>72.31</v>
      </c>
      <c r="F6" s="8" t="n">
        <v>57.46</v>
      </c>
      <c r="G6" s="8" t="n">
        <v>79.8</v>
      </c>
      <c r="H6" s="8" t="n">
        <v>0</v>
      </c>
      <c r="I6" s="8" t="n">
        <v>64.95</v>
      </c>
      <c r="J6" s="8" t="n">
        <v>122.93</v>
      </c>
    </row>
    <row r="7" customFormat="false" ht="15" hidden="false" customHeight="false" outlineLevel="0" collapsed="false">
      <c r="A7" s="4" t="s">
        <v>106</v>
      </c>
      <c r="B7" s="4" t="s">
        <v>107</v>
      </c>
      <c r="C7" s="4" t="n">
        <v>0</v>
      </c>
      <c r="D7" s="4" t="n">
        <v>0</v>
      </c>
      <c r="E7" s="8" t="n">
        <v>305.91</v>
      </c>
      <c r="F7" s="8" t="n">
        <v>210.33</v>
      </c>
      <c r="G7" s="8" t="n">
        <v>305.91</v>
      </c>
      <c r="H7" s="8" t="n">
        <v>76.48</v>
      </c>
      <c r="I7" s="8" t="n">
        <v>195.04</v>
      </c>
      <c r="J7" s="8" t="n">
        <v>195.04</v>
      </c>
    </row>
    <row r="8" customFormat="false" ht="15" hidden="false" customHeight="false" outlineLevel="0" collapsed="false">
      <c r="A8" s="4" t="s">
        <v>108</v>
      </c>
      <c r="B8" s="4" t="s">
        <v>104</v>
      </c>
      <c r="C8" s="4" t="n">
        <v>0</v>
      </c>
      <c r="D8" s="4" t="n">
        <v>0</v>
      </c>
      <c r="E8" s="8" t="n">
        <v>24.7</v>
      </c>
      <c r="F8" s="8" t="n">
        <v>14.4</v>
      </c>
      <c r="G8" s="8" t="n">
        <v>24.7</v>
      </c>
      <c r="H8" s="8" t="n">
        <v>0</v>
      </c>
      <c r="I8" s="8" t="n">
        <v>14.4</v>
      </c>
      <c r="J8" s="8" t="n">
        <v>14.4</v>
      </c>
    </row>
    <row r="9" customFormat="false" ht="15" hidden="false" customHeight="false" outlineLevel="0" collapsed="false">
      <c r="A9" s="4" t="s">
        <v>109</v>
      </c>
      <c r="B9" s="4" t="s">
        <v>104</v>
      </c>
      <c r="C9" s="4" t="n">
        <v>1</v>
      </c>
      <c r="D9" s="4" t="n">
        <v>0</v>
      </c>
      <c r="E9" s="8" t="n">
        <v>99.04</v>
      </c>
      <c r="F9" s="8" t="n">
        <v>77.78</v>
      </c>
      <c r="G9" s="8" t="n">
        <v>106.53</v>
      </c>
      <c r="H9" s="8" t="n">
        <v>0</v>
      </c>
      <c r="I9" s="8" t="n">
        <v>85.27</v>
      </c>
      <c r="J9" s="8" t="n">
        <v>138.35</v>
      </c>
    </row>
    <row r="10" customFormat="false" ht="15" hidden="false" customHeight="false" outlineLevel="0" collapsed="false">
      <c r="A10" s="4" t="s">
        <v>110</v>
      </c>
      <c r="B10" s="4" t="s">
        <v>107</v>
      </c>
      <c r="C10" s="4" t="n">
        <v>0</v>
      </c>
      <c r="D10" s="4" t="n">
        <v>0</v>
      </c>
      <c r="E10" s="8" t="n">
        <v>238.41</v>
      </c>
      <c r="F10" s="8" t="n">
        <v>165.08</v>
      </c>
      <c r="G10" s="8" t="n">
        <v>238.41</v>
      </c>
      <c r="H10" s="8" t="n">
        <v>59.6</v>
      </c>
      <c r="I10" s="8" t="n">
        <v>153.16</v>
      </c>
      <c r="J10" s="8" t="n">
        <v>153.16</v>
      </c>
    </row>
    <row r="11" customFormat="false" ht="15" hidden="false" customHeight="false" outlineLevel="0" collapsed="false">
      <c r="A11" s="4" t="s">
        <v>111</v>
      </c>
      <c r="B11" s="4" t="s">
        <v>107</v>
      </c>
      <c r="C11" s="4" t="n">
        <v>1</v>
      </c>
      <c r="D11" s="4" t="n">
        <v>0</v>
      </c>
      <c r="E11" s="8" t="n">
        <v>91.44</v>
      </c>
      <c r="F11" s="8" t="n">
        <v>51.89</v>
      </c>
      <c r="G11" s="8" t="n">
        <v>103.83</v>
      </c>
      <c r="H11" s="8" t="n">
        <v>24.73</v>
      </c>
      <c r="I11" s="8" t="n">
        <v>57.84</v>
      </c>
      <c r="J11" s="8" t="n">
        <v>92.2</v>
      </c>
    </row>
    <row r="12" customFormat="false" ht="15" hidden="false" customHeight="false" outlineLevel="0" collapsed="false">
      <c r="A12" s="4" t="s">
        <v>112</v>
      </c>
      <c r="B12" s="4" t="s">
        <v>107</v>
      </c>
      <c r="C12" s="4" t="n">
        <v>2</v>
      </c>
      <c r="D12" s="4" t="n">
        <v>0</v>
      </c>
      <c r="E12" s="8" t="n">
        <v>134.82</v>
      </c>
      <c r="F12" s="8" t="n">
        <v>84.55</v>
      </c>
      <c r="G12" s="8" t="n">
        <v>154.7</v>
      </c>
      <c r="H12" s="8" t="n">
        <v>37.45</v>
      </c>
      <c r="I12" s="8" t="n">
        <v>93.95</v>
      </c>
      <c r="J12" s="8" t="n">
        <v>85.49</v>
      </c>
    </row>
    <row r="13" customFormat="false" ht="15" hidden="false" customHeight="false" outlineLevel="0" collapsed="false">
      <c r="A13" s="4" t="s">
        <v>113</v>
      </c>
      <c r="B13" s="4" t="s">
        <v>104</v>
      </c>
      <c r="C13" s="4" t="n">
        <v>3</v>
      </c>
      <c r="D13" s="4" t="n">
        <v>1</v>
      </c>
      <c r="E13" s="8" t="n">
        <v>337.56</v>
      </c>
      <c r="F13" s="8" t="n">
        <v>287.31</v>
      </c>
      <c r="G13" s="8" t="n">
        <v>285.13</v>
      </c>
      <c r="H13" s="8" t="n">
        <v>0</v>
      </c>
      <c r="I13" s="8" t="n">
        <v>234.88</v>
      </c>
      <c r="J13" s="8" t="n">
        <v>234.88</v>
      </c>
    </row>
    <row r="14" customFormat="false" ht="15" hidden="false" customHeight="false" outlineLevel="0" collapsed="false">
      <c r="A14" s="4" t="s">
        <v>114</v>
      </c>
      <c r="B14" s="4" t="s">
        <v>107</v>
      </c>
      <c r="C14" s="4" t="n">
        <v>1</v>
      </c>
      <c r="D14" s="4" t="n">
        <v>0</v>
      </c>
      <c r="E14" s="8" t="n">
        <v>87.43</v>
      </c>
      <c r="F14" s="8" t="n">
        <v>52.16</v>
      </c>
      <c r="G14" s="8" t="n">
        <v>94.92</v>
      </c>
      <c r="H14" s="8" t="n">
        <v>22.51</v>
      </c>
      <c r="I14" s="8" t="n">
        <v>53.65</v>
      </c>
      <c r="J14" s="8" t="n">
        <v>88.01</v>
      </c>
    </row>
    <row r="15" customFormat="false" ht="15" hidden="false" customHeight="false" outlineLevel="0" collapsed="false">
      <c r="A15" s="4" t="s">
        <v>115</v>
      </c>
      <c r="B15" s="4" t="s">
        <v>107</v>
      </c>
      <c r="C15" s="4" t="n">
        <v>1</v>
      </c>
      <c r="D15" s="4" t="n">
        <v>0</v>
      </c>
      <c r="E15" s="8" t="n">
        <v>78.52</v>
      </c>
      <c r="F15" s="8" t="n">
        <v>47.54</v>
      </c>
      <c r="G15" s="8" t="n">
        <v>86.01</v>
      </c>
      <c r="H15" s="8" t="n">
        <v>20.27</v>
      </c>
      <c r="I15" s="8" t="n">
        <v>49.47</v>
      </c>
      <c r="J15" s="8" t="n">
        <v>83.83</v>
      </c>
    </row>
    <row r="16" customFormat="false" ht="15" hidden="false" customHeight="false" outlineLevel="0" collapsed="false">
      <c r="A16" s="4" t="s">
        <v>116</v>
      </c>
      <c r="B16" s="4" t="s">
        <v>107</v>
      </c>
      <c r="C16" s="4" t="n">
        <v>1</v>
      </c>
      <c r="D16" s="4" t="n">
        <v>0</v>
      </c>
      <c r="E16" s="8" t="n">
        <v>87.43</v>
      </c>
      <c r="F16" s="8" t="n">
        <v>52.16</v>
      </c>
      <c r="G16" s="8" t="n">
        <v>94.92</v>
      </c>
      <c r="H16" s="8" t="n">
        <v>22.51</v>
      </c>
      <c r="I16" s="8" t="n">
        <v>53.65</v>
      </c>
      <c r="J16" s="8" t="n">
        <v>88.01</v>
      </c>
    </row>
    <row r="17" customFormat="false" ht="15" hidden="false" customHeight="false" outlineLevel="0" collapsed="false">
      <c r="A17" s="4" t="s">
        <v>117</v>
      </c>
      <c r="B17" s="4" t="s">
        <v>107</v>
      </c>
      <c r="C17" s="4" t="n">
        <v>0</v>
      </c>
      <c r="D17" s="4" t="n">
        <v>0</v>
      </c>
      <c r="E17" s="8" t="n">
        <v>269.91</v>
      </c>
      <c r="F17" s="8" t="n">
        <v>185.1</v>
      </c>
      <c r="G17" s="8" t="n">
        <v>269.91</v>
      </c>
      <c r="H17" s="8" t="n">
        <v>67.48</v>
      </c>
      <c r="I17" s="8" t="n">
        <v>171.61</v>
      </c>
      <c r="J17" s="8" t="n">
        <v>171.61</v>
      </c>
    </row>
    <row r="18" customFormat="false" ht="15" hidden="false" customHeight="false" outlineLevel="0" collapsed="false">
      <c r="A18" s="4" t="s">
        <v>118</v>
      </c>
      <c r="B18" s="4" t="s">
        <v>104</v>
      </c>
      <c r="C18" s="4" t="n">
        <v>1</v>
      </c>
      <c r="D18" s="4" t="n">
        <v>0</v>
      </c>
      <c r="E18" s="8" t="n">
        <v>509.14</v>
      </c>
      <c r="F18" s="8" t="n">
        <v>442.5</v>
      </c>
      <c r="G18" s="8" t="n">
        <v>516.63</v>
      </c>
      <c r="H18" s="8" t="n">
        <v>0</v>
      </c>
      <c r="I18" s="8" t="n">
        <v>449.99</v>
      </c>
      <c r="J18" s="8" t="n">
        <v>507.97</v>
      </c>
    </row>
    <row r="19" customFormat="false" ht="15" hidden="false" customHeight="false" outlineLevel="0" collapsed="false">
      <c r="A19" s="4" t="s">
        <v>119</v>
      </c>
      <c r="B19" s="4" t="s">
        <v>107</v>
      </c>
      <c r="C19" s="4" t="n">
        <v>2</v>
      </c>
      <c r="D19" s="4" t="n">
        <v>0</v>
      </c>
      <c r="E19" s="8" t="n">
        <v>147.24</v>
      </c>
      <c r="F19" s="8" t="n">
        <v>91.67</v>
      </c>
      <c r="G19" s="8" t="n">
        <v>162.22</v>
      </c>
      <c r="H19" s="8" t="n">
        <v>40.56</v>
      </c>
      <c r="I19" s="8" t="n">
        <v>95.54</v>
      </c>
      <c r="J19" s="8" t="n">
        <v>87.08</v>
      </c>
    </row>
    <row r="20" customFormat="false" ht="15" hidden="false" customHeight="false" outlineLevel="0" collapsed="false">
      <c r="A20" s="4" t="s">
        <v>120</v>
      </c>
      <c r="B20" s="4" t="s">
        <v>107</v>
      </c>
      <c r="C20" s="4" t="n">
        <v>1</v>
      </c>
      <c r="D20" s="4" t="n">
        <v>0</v>
      </c>
      <c r="E20" s="8" t="n">
        <v>109.53</v>
      </c>
      <c r="F20" s="8" t="n">
        <v>68.42</v>
      </c>
      <c r="G20" s="8" t="n">
        <v>121.92</v>
      </c>
      <c r="H20" s="8" t="n">
        <v>29.26</v>
      </c>
      <c r="I20" s="8" t="n">
        <v>73.47</v>
      </c>
      <c r="J20" s="8" t="n">
        <v>107.83</v>
      </c>
    </row>
    <row r="21" customFormat="false" ht="15" hidden="false" customHeight="false" outlineLevel="0" collapsed="false">
      <c r="A21" s="4" t="s">
        <v>121</v>
      </c>
      <c r="B21" s="4" t="s">
        <v>107</v>
      </c>
      <c r="C21" s="4" t="n">
        <v>1</v>
      </c>
      <c r="D21" s="4" t="n">
        <v>0</v>
      </c>
      <c r="E21" s="8" t="n">
        <v>120.82</v>
      </c>
      <c r="F21" s="8" t="n">
        <v>68.9</v>
      </c>
      <c r="G21" s="8" t="n">
        <v>133.21</v>
      </c>
      <c r="H21" s="8" t="n">
        <v>32.07</v>
      </c>
      <c r="I21" s="8" t="n">
        <v>73.38</v>
      </c>
      <c r="J21" s="8" t="n">
        <v>107.74</v>
      </c>
    </row>
    <row r="22" customFormat="false" ht="15" hidden="false" customHeight="false" outlineLevel="0" collapsed="false">
      <c r="A22" s="4" t="s">
        <v>122</v>
      </c>
      <c r="B22" s="4" t="s">
        <v>107</v>
      </c>
      <c r="C22" s="4" t="n">
        <v>0</v>
      </c>
      <c r="D22" s="4" t="n">
        <v>0</v>
      </c>
      <c r="E22" s="8" t="n">
        <v>314.82</v>
      </c>
      <c r="F22" s="8" t="n">
        <v>215.22</v>
      </c>
      <c r="G22" s="8" t="n">
        <v>314.82</v>
      </c>
      <c r="H22" s="8" t="n">
        <v>78.7</v>
      </c>
      <c r="I22" s="8" t="n">
        <v>199.48</v>
      </c>
      <c r="J22" s="8" t="n">
        <v>199.48</v>
      </c>
    </row>
    <row r="23" customFormat="false" ht="15" hidden="false" customHeight="false" outlineLevel="0" collapsed="false">
      <c r="A23" s="4" t="s">
        <v>123</v>
      </c>
      <c r="B23" s="4" t="s">
        <v>107</v>
      </c>
      <c r="C23" s="4" t="n">
        <v>0</v>
      </c>
      <c r="D23" s="4" t="n">
        <v>0</v>
      </c>
      <c r="E23" s="8" t="n">
        <v>282.96</v>
      </c>
      <c r="F23" s="8" t="n">
        <v>186.23</v>
      </c>
      <c r="G23" s="8" t="n">
        <v>282.96</v>
      </c>
      <c r="H23" s="8" t="n">
        <v>70.74</v>
      </c>
      <c r="I23" s="8" t="n">
        <v>175.02</v>
      </c>
      <c r="J23" s="8" t="n">
        <v>175.02</v>
      </c>
    </row>
    <row r="24" customFormat="false" ht="15" hidden="false" customHeight="false" outlineLevel="0" collapsed="false">
      <c r="A24" s="4" t="s">
        <v>124</v>
      </c>
      <c r="B24" s="4" t="s">
        <v>107</v>
      </c>
      <c r="C24" s="4" t="n">
        <v>0</v>
      </c>
      <c r="D24" s="4" t="n">
        <v>0</v>
      </c>
      <c r="E24" s="8" t="n">
        <v>269.91</v>
      </c>
      <c r="F24" s="8" t="n">
        <v>185.1</v>
      </c>
      <c r="G24" s="8" t="n">
        <v>269.91</v>
      </c>
      <c r="H24" s="8" t="n">
        <v>67.48</v>
      </c>
      <c r="I24" s="8" t="n">
        <v>171.61</v>
      </c>
      <c r="J24" s="8" t="n">
        <v>171.61</v>
      </c>
    </row>
    <row r="25" customFormat="false" ht="15" hidden="false" customHeight="false" outlineLevel="0" collapsed="false">
      <c r="A25" s="4" t="s">
        <v>125</v>
      </c>
      <c r="B25" s="4" t="s">
        <v>107</v>
      </c>
      <c r="C25" s="4" t="n">
        <v>1</v>
      </c>
      <c r="D25" s="4" t="n">
        <v>0</v>
      </c>
      <c r="E25" s="8" t="n">
        <v>87.43</v>
      </c>
      <c r="F25" s="8" t="n">
        <v>52.16</v>
      </c>
      <c r="G25" s="8" t="n">
        <v>94.92</v>
      </c>
      <c r="H25" s="8" t="n">
        <v>22.51</v>
      </c>
      <c r="I25" s="8" t="n">
        <v>53.65</v>
      </c>
      <c r="J25" s="8" t="n">
        <v>88.01</v>
      </c>
    </row>
    <row r="26" customFormat="false" ht="15" hidden="false" customHeight="false" outlineLevel="0" collapsed="false">
      <c r="A26" s="4" t="s">
        <v>126</v>
      </c>
      <c r="B26" s="4" t="s">
        <v>107</v>
      </c>
      <c r="C26" s="4" t="n">
        <v>1</v>
      </c>
      <c r="D26" s="4" t="n">
        <v>0</v>
      </c>
      <c r="E26" s="8" t="n">
        <v>63.01</v>
      </c>
      <c r="F26" s="8" t="n">
        <v>32.89</v>
      </c>
      <c r="G26" s="8" t="n">
        <v>66.5</v>
      </c>
      <c r="H26" s="8" t="n">
        <v>15.4</v>
      </c>
      <c r="I26" s="8" t="n">
        <v>32.61</v>
      </c>
      <c r="J26" s="8" t="n">
        <v>71.87</v>
      </c>
    </row>
    <row r="27" customFormat="false" ht="15" hidden="false" customHeight="false" outlineLevel="0" collapsed="false">
      <c r="A27" s="4" t="s">
        <v>127</v>
      </c>
      <c r="B27" s="4" t="s">
        <v>107</v>
      </c>
      <c r="C27" s="4" t="n">
        <v>0</v>
      </c>
      <c r="D27" s="4" t="n">
        <v>0</v>
      </c>
      <c r="E27" s="8" t="n">
        <v>152.91</v>
      </c>
      <c r="F27" s="8" t="n">
        <v>107.22</v>
      </c>
      <c r="G27" s="8" t="n">
        <v>152.91</v>
      </c>
      <c r="H27" s="8" t="n">
        <v>38.23</v>
      </c>
      <c r="I27" s="8" t="n">
        <v>100.98</v>
      </c>
      <c r="J27" s="8" t="n">
        <v>100.98</v>
      </c>
    </row>
    <row r="28" customFormat="false" ht="15" hidden="false" customHeight="false" outlineLevel="0" collapsed="false">
      <c r="A28" s="4" t="s">
        <v>128</v>
      </c>
      <c r="B28" s="4" t="s">
        <v>107</v>
      </c>
      <c r="C28" s="4" t="n">
        <v>1</v>
      </c>
      <c r="D28" s="4" t="n">
        <v>0</v>
      </c>
      <c r="E28" s="8" t="n">
        <v>109.53</v>
      </c>
      <c r="F28" s="8" t="n">
        <v>67.01</v>
      </c>
      <c r="G28" s="8" t="n">
        <v>121.92</v>
      </c>
      <c r="H28" s="8" t="n">
        <v>29.26</v>
      </c>
      <c r="I28" s="8" t="n">
        <v>73.47</v>
      </c>
      <c r="J28" s="8" t="n">
        <v>107.83</v>
      </c>
    </row>
    <row r="29" customFormat="false" ht="15" hidden="false" customHeight="false" outlineLevel="0" collapsed="false">
      <c r="A29" s="4" t="s">
        <v>129</v>
      </c>
      <c r="B29" s="4" t="s">
        <v>107</v>
      </c>
      <c r="C29" s="4" t="n">
        <v>2</v>
      </c>
      <c r="D29" s="4" t="n">
        <v>0</v>
      </c>
      <c r="E29" s="8" t="n">
        <v>183.15</v>
      </c>
      <c r="F29" s="8" t="n">
        <v>112.01</v>
      </c>
      <c r="G29" s="8" t="n">
        <v>198.13</v>
      </c>
      <c r="H29" s="8" t="n">
        <v>49.53</v>
      </c>
      <c r="I29" s="8" t="n">
        <v>119.53</v>
      </c>
      <c r="J29" s="8" t="n">
        <v>111.07</v>
      </c>
    </row>
    <row r="30" customFormat="false" ht="15" hidden="false" customHeight="false" outlineLevel="0" collapsed="false">
      <c r="A30" s="4" t="s">
        <v>130</v>
      </c>
      <c r="B30" s="4" t="s">
        <v>104</v>
      </c>
      <c r="C30" s="4" t="n">
        <v>0</v>
      </c>
      <c r="D30" s="4" t="n">
        <v>0</v>
      </c>
      <c r="E30" s="8" t="n">
        <v>264.9</v>
      </c>
      <c r="F30" s="8" t="n">
        <v>237.83</v>
      </c>
      <c r="G30" s="8" t="n">
        <v>264.9</v>
      </c>
      <c r="H30" s="8" t="n">
        <v>0</v>
      </c>
      <c r="I30" s="8" t="n">
        <v>239.24</v>
      </c>
      <c r="J30" s="8" t="n">
        <v>239.24</v>
      </c>
    </row>
    <row r="31" customFormat="false" ht="15" hidden="false" customHeight="false" outlineLevel="0" collapsed="false">
      <c r="A31" s="4" t="s">
        <v>131</v>
      </c>
      <c r="B31" s="4" t="s">
        <v>107</v>
      </c>
      <c r="C31" s="4" t="n">
        <v>1</v>
      </c>
      <c r="D31" s="4" t="n">
        <v>0</v>
      </c>
      <c r="E31" s="8" t="n">
        <v>112.23</v>
      </c>
      <c r="F31" s="8" t="n">
        <v>68.09</v>
      </c>
      <c r="G31" s="8" t="n">
        <v>124.62</v>
      </c>
      <c r="H31" s="8" t="n">
        <v>29.92</v>
      </c>
      <c r="I31" s="8" t="n">
        <v>74.41</v>
      </c>
      <c r="J31" s="8" t="n">
        <v>108.77</v>
      </c>
    </row>
    <row r="32" customFormat="false" ht="15" hidden="false" customHeight="false" outlineLevel="0" collapsed="false">
      <c r="A32" s="4" t="s">
        <v>132</v>
      </c>
      <c r="B32" s="4" t="s">
        <v>107</v>
      </c>
      <c r="C32" s="4" t="n">
        <v>0</v>
      </c>
      <c r="D32" s="4" t="n">
        <v>0</v>
      </c>
      <c r="E32" s="8" t="n">
        <v>320.41</v>
      </c>
      <c r="F32" s="8" t="n">
        <v>214.72</v>
      </c>
      <c r="G32" s="8" t="n">
        <v>320.41</v>
      </c>
      <c r="H32" s="8" t="n">
        <v>76.48</v>
      </c>
      <c r="I32" s="8" t="n">
        <v>200.84</v>
      </c>
      <c r="J32" s="8" t="n">
        <v>200.84</v>
      </c>
    </row>
    <row r="33" customFormat="false" ht="15" hidden="false" customHeight="false" outlineLevel="0" collapsed="false">
      <c r="A33" s="4" t="s">
        <v>133</v>
      </c>
      <c r="B33" s="4" t="s">
        <v>107</v>
      </c>
      <c r="C33" s="4" t="n">
        <v>0</v>
      </c>
      <c r="D33" s="4" t="n">
        <v>0</v>
      </c>
      <c r="E33" s="8" t="n">
        <v>305.91</v>
      </c>
      <c r="F33" s="8" t="n">
        <v>208.93</v>
      </c>
      <c r="G33" s="8" t="n">
        <v>305.91</v>
      </c>
      <c r="H33" s="8" t="n">
        <v>76.48</v>
      </c>
      <c r="I33" s="8" t="n">
        <v>195.05</v>
      </c>
      <c r="J33" s="8" t="n">
        <v>195.05</v>
      </c>
    </row>
    <row r="34" customFormat="false" ht="15" hidden="false" customHeight="false" outlineLevel="0" collapsed="false">
      <c r="A34" s="4" t="s">
        <v>134</v>
      </c>
      <c r="B34" s="4" t="s">
        <v>104</v>
      </c>
      <c r="C34" s="4" t="n">
        <v>2</v>
      </c>
      <c r="D34" s="4" t="n">
        <v>0</v>
      </c>
      <c r="E34" s="8" t="n">
        <v>149.8</v>
      </c>
      <c r="F34" s="8" t="n">
        <v>125.08</v>
      </c>
      <c r="G34" s="8" t="n">
        <v>154.7</v>
      </c>
      <c r="H34" s="8" t="n">
        <v>0</v>
      </c>
      <c r="I34" s="8" t="n">
        <v>131.39</v>
      </c>
      <c r="J34" s="8" t="n">
        <v>122.93</v>
      </c>
    </row>
    <row r="35" customFormat="false" ht="15" hidden="false" customHeight="false" outlineLevel="0" collapsed="false">
      <c r="A35" s="4" t="s">
        <v>135</v>
      </c>
      <c r="B35" s="4" t="s">
        <v>107</v>
      </c>
      <c r="C35" s="4" t="n">
        <v>0</v>
      </c>
      <c r="D35" s="4" t="n">
        <v>0</v>
      </c>
      <c r="E35" s="8" t="n">
        <v>269.91</v>
      </c>
      <c r="F35" s="8" t="n">
        <v>183.69</v>
      </c>
      <c r="G35" s="8" t="n">
        <v>269.91</v>
      </c>
      <c r="H35" s="8" t="n">
        <v>67.48</v>
      </c>
      <c r="I35" s="8" t="n">
        <v>171.61</v>
      </c>
      <c r="J35" s="8" t="n">
        <v>171.61</v>
      </c>
    </row>
    <row r="36" customFormat="false" ht="15" hidden="false" customHeight="false" outlineLevel="0" collapsed="false">
      <c r="A36" s="4" t="s">
        <v>136</v>
      </c>
      <c r="B36" s="4" t="s">
        <v>107</v>
      </c>
      <c r="C36" s="4" t="n">
        <v>3</v>
      </c>
      <c r="D36" s="4" t="n">
        <v>1</v>
      </c>
      <c r="E36" s="8" t="n">
        <v>182.01</v>
      </c>
      <c r="F36" s="8" t="n">
        <v>108.39</v>
      </c>
      <c r="G36" s="8" t="n">
        <v>154.7</v>
      </c>
      <c r="H36" s="8" t="n">
        <v>37.46</v>
      </c>
      <c r="I36" s="8" t="n">
        <v>85.48</v>
      </c>
      <c r="J36" s="8" t="n">
        <v>85.48</v>
      </c>
    </row>
    <row r="37" customFormat="false" ht="15" hidden="false" customHeight="false" outlineLevel="0" collapsed="false">
      <c r="A37" s="4" t="s">
        <v>137</v>
      </c>
      <c r="B37" s="4" t="s">
        <v>107</v>
      </c>
      <c r="C37" s="4" t="n">
        <v>1</v>
      </c>
      <c r="D37" s="4" t="n">
        <v>0</v>
      </c>
      <c r="E37" s="8" t="n">
        <v>151.65</v>
      </c>
      <c r="F37" s="8" t="n">
        <v>96.37</v>
      </c>
      <c r="G37" s="8" t="n">
        <v>159.14</v>
      </c>
      <c r="H37" s="8" t="n">
        <v>39.79</v>
      </c>
      <c r="I37" s="8" t="n">
        <v>95.81</v>
      </c>
      <c r="J37" s="8" t="n">
        <v>135.07</v>
      </c>
    </row>
    <row r="38" customFormat="false" ht="15" hidden="false" customHeight="false" outlineLevel="0" collapsed="false">
      <c r="A38" s="4" t="s">
        <v>138</v>
      </c>
      <c r="B38" s="4" t="s">
        <v>107</v>
      </c>
      <c r="C38" s="4" t="n">
        <v>3</v>
      </c>
      <c r="D38" s="4" t="n">
        <v>1</v>
      </c>
      <c r="E38" s="8" t="n">
        <v>196.51</v>
      </c>
      <c r="F38" s="8" t="n">
        <v>114.18</v>
      </c>
      <c r="G38" s="8" t="n">
        <v>164.3</v>
      </c>
      <c r="H38" s="8" t="n">
        <v>37.46</v>
      </c>
      <c r="I38" s="8" t="n">
        <v>86.37</v>
      </c>
      <c r="J38" s="8" t="n">
        <v>86.37</v>
      </c>
    </row>
    <row r="39" customFormat="false" ht="15" hidden="false" customHeight="false" outlineLevel="0" collapsed="false">
      <c r="A39" s="4" t="s">
        <v>139</v>
      </c>
      <c r="B39" s="4" t="s">
        <v>107</v>
      </c>
      <c r="C39" s="4" t="n">
        <v>1</v>
      </c>
      <c r="D39" s="4" t="n">
        <v>0</v>
      </c>
      <c r="E39" s="8" t="n">
        <v>78.52</v>
      </c>
      <c r="F39" s="8" t="n">
        <v>47.54</v>
      </c>
      <c r="G39" s="8" t="n">
        <v>86.01</v>
      </c>
      <c r="H39" s="8" t="n">
        <v>20.27</v>
      </c>
      <c r="I39" s="8" t="n">
        <v>49.48</v>
      </c>
      <c r="J39" s="8" t="n">
        <v>83.84</v>
      </c>
    </row>
    <row r="40" customFormat="false" ht="15" hidden="false" customHeight="false" outlineLevel="0" collapsed="false">
      <c r="A40" s="4" t="s">
        <v>140</v>
      </c>
      <c r="B40" s="4" t="s">
        <v>104</v>
      </c>
      <c r="C40" s="4" t="n">
        <v>1</v>
      </c>
      <c r="D40" s="4" t="n">
        <v>0</v>
      </c>
      <c r="E40" s="8" t="n">
        <v>79.8</v>
      </c>
      <c r="F40" s="8" t="n">
        <v>64.95</v>
      </c>
      <c r="G40" s="8" t="n">
        <v>79.8</v>
      </c>
      <c r="H40" s="8" t="n">
        <v>0</v>
      </c>
      <c r="I40" s="8" t="n">
        <v>64.95</v>
      </c>
      <c r="J40" s="8" t="n">
        <v>122.93</v>
      </c>
    </row>
    <row r="41" customFormat="false" ht="15" hidden="false" customHeight="false" outlineLevel="0" collapsed="false">
      <c r="A41" s="4" t="s">
        <v>141</v>
      </c>
      <c r="B41" s="4" t="s">
        <v>107</v>
      </c>
      <c r="C41" s="4" t="n">
        <v>2</v>
      </c>
      <c r="D41" s="4" t="n">
        <v>0</v>
      </c>
      <c r="E41" s="8" t="n">
        <v>134.82</v>
      </c>
      <c r="F41" s="8" t="n">
        <v>83.14</v>
      </c>
      <c r="G41" s="8" t="n">
        <v>154.7</v>
      </c>
      <c r="H41" s="8" t="n">
        <v>37.45</v>
      </c>
      <c r="I41" s="8" t="n">
        <v>93.95</v>
      </c>
      <c r="J41" s="8" t="n">
        <v>85.49</v>
      </c>
    </row>
    <row r="42" customFormat="false" ht="15" hidden="false" customHeight="false" outlineLevel="0" collapsed="false">
      <c r="A42" s="4" t="s">
        <v>142</v>
      </c>
      <c r="B42" s="4" t="s">
        <v>104</v>
      </c>
      <c r="C42" s="4" t="n">
        <v>1</v>
      </c>
      <c r="D42" s="4" t="n">
        <v>0</v>
      </c>
      <c r="E42" s="8" t="n">
        <v>101.6</v>
      </c>
      <c r="F42" s="8" t="n">
        <v>78.93</v>
      </c>
      <c r="G42" s="8" t="n">
        <v>106.5</v>
      </c>
      <c r="H42" s="8" t="n">
        <v>0</v>
      </c>
      <c r="I42" s="8" t="n">
        <v>85.24</v>
      </c>
      <c r="J42" s="8" t="n">
        <v>138.32</v>
      </c>
    </row>
    <row r="43" customFormat="false" ht="15" hidden="false" customHeight="false" outlineLevel="0" collapsed="false">
      <c r="A43" s="4" t="s">
        <v>143</v>
      </c>
      <c r="B43" s="4" t="s">
        <v>107</v>
      </c>
      <c r="C43" s="4" t="n">
        <v>1</v>
      </c>
      <c r="D43" s="4" t="n">
        <v>0</v>
      </c>
      <c r="E43" s="8" t="n">
        <v>78.52</v>
      </c>
      <c r="F43" s="8" t="n">
        <v>47.54</v>
      </c>
      <c r="G43" s="8" t="n">
        <v>86.01</v>
      </c>
      <c r="H43" s="8" t="n">
        <v>20.27</v>
      </c>
      <c r="I43" s="8" t="n">
        <v>49.48</v>
      </c>
      <c r="J43" s="8" t="n">
        <v>83.84</v>
      </c>
    </row>
    <row r="44" customFormat="false" ht="15" hidden="false" customHeight="false" outlineLevel="0" collapsed="false">
      <c r="A44" s="4" t="s">
        <v>144</v>
      </c>
      <c r="B44" s="4" t="s">
        <v>107</v>
      </c>
      <c r="C44" s="4" t="n">
        <v>2</v>
      </c>
      <c r="D44" s="4" t="n">
        <v>0</v>
      </c>
      <c r="E44" s="8" t="n">
        <v>134.82</v>
      </c>
      <c r="F44" s="8" t="n">
        <v>83.14</v>
      </c>
      <c r="G44" s="8" t="n">
        <v>154.7</v>
      </c>
      <c r="H44" s="8" t="n">
        <v>37.45</v>
      </c>
      <c r="I44" s="8" t="n">
        <v>93.95</v>
      </c>
      <c r="J44" s="8" t="n">
        <v>85.49</v>
      </c>
    </row>
    <row r="45" customFormat="false" ht="15" hidden="false" customHeight="false" outlineLevel="0" collapsed="false">
      <c r="A45" s="4" t="s">
        <v>145</v>
      </c>
      <c r="B45" s="4" t="s">
        <v>104</v>
      </c>
      <c r="C45" s="4" t="n">
        <v>1</v>
      </c>
      <c r="D45" s="4" t="n">
        <v>0</v>
      </c>
      <c r="E45" s="8" t="n">
        <v>96.6</v>
      </c>
      <c r="F45" s="8" t="n">
        <v>77.84</v>
      </c>
      <c r="G45" s="8" t="n">
        <v>96.6</v>
      </c>
      <c r="H45" s="8" t="n">
        <v>0</v>
      </c>
      <c r="I45" s="8" t="n">
        <v>77.84</v>
      </c>
      <c r="J45" s="8" t="n">
        <v>130.92</v>
      </c>
    </row>
    <row r="46" customFormat="false" ht="15" hidden="false" customHeight="false" outlineLevel="0" collapsed="false">
      <c r="A46" s="4" t="s">
        <v>146</v>
      </c>
      <c r="B46" s="4" t="s">
        <v>107</v>
      </c>
      <c r="C46" s="4" t="n">
        <v>3</v>
      </c>
      <c r="D46" s="4" t="n">
        <v>1</v>
      </c>
      <c r="E46" s="8" t="n">
        <v>355.45</v>
      </c>
      <c r="F46" s="8" t="n">
        <v>211.31</v>
      </c>
      <c r="G46" s="8" t="n">
        <v>323.24</v>
      </c>
      <c r="H46" s="8" t="n">
        <v>80.81</v>
      </c>
      <c r="I46" s="8" t="n">
        <v>172.19</v>
      </c>
      <c r="J46" s="8" t="n">
        <v>172.19</v>
      </c>
    </row>
    <row r="47" customFormat="false" ht="15" hidden="false" customHeight="false" outlineLevel="0" collapsed="false">
      <c r="A47" s="4" t="s">
        <v>147</v>
      </c>
      <c r="B47" s="4" t="s">
        <v>104</v>
      </c>
      <c r="C47" s="4" t="n">
        <v>1</v>
      </c>
      <c r="D47" s="4" t="n">
        <v>0</v>
      </c>
      <c r="E47" s="8" t="n">
        <v>96.6</v>
      </c>
      <c r="F47" s="8" t="n">
        <v>77.84</v>
      </c>
      <c r="G47" s="8" t="n">
        <v>96.6</v>
      </c>
      <c r="H47" s="8" t="n">
        <v>0</v>
      </c>
      <c r="I47" s="8" t="n">
        <v>77.84</v>
      </c>
      <c r="J47" s="8" t="n">
        <v>130.92</v>
      </c>
    </row>
    <row r="48" customFormat="false" ht="15" hidden="false" customHeight="false" outlineLevel="0" collapsed="false">
      <c r="A48" s="4" t="s">
        <v>148</v>
      </c>
      <c r="B48" s="4" t="s">
        <v>107</v>
      </c>
      <c r="C48" s="4" t="n">
        <v>0</v>
      </c>
      <c r="D48" s="4" t="n">
        <v>0</v>
      </c>
      <c r="E48" s="8" t="n">
        <v>422.82</v>
      </c>
      <c r="F48" s="8" t="n">
        <v>297.31</v>
      </c>
      <c r="G48" s="8" t="n">
        <v>422.82</v>
      </c>
      <c r="H48" s="8" t="n">
        <v>105.7</v>
      </c>
      <c r="I48" s="8" t="n">
        <v>276.04</v>
      </c>
      <c r="J48" s="8" t="n">
        <v>276.04</v>
      </c>
    </row>
    <row r="49" customFormat="false" ht="15" hidden="false" customHeight="false" outlineLevel="0" collapsed="false">
      <c r="A49" s="4" t="s">
        <v>149</v>
      </c>
      <c r="B49" s="4" t="s">
        <v>107</v>
      </c>
      <c r="C49" s="4" t="n">
        <v>1</v>
      </c>
      <c r="D49" s="4" t="n">
        <v>0</v>
      </c>
      <c r="E49" s="8" t="n">
        <v>103.32</v>
      </c>
      <c r="F49" s="8" t="n">
        <v>63.46</v>
      </c>
      <c r="G49" s="8" t="n">
        <v>115.71</v>
      </c>
      <c r="H49" s="8" t="n">
        <v>27.7</v>
      </c>
      <c r="I49" s="8" t="n">
        <v>70.23</v>
      </c>
      <c r="J49" s="8" t="n">
        <v>104.59</v>
      </c>
    </row>
    <row r="50" customFormat="false" ht="15" hidden="false" customHeight="false" outlineLevel="0" collapsed="false">
      <c r="A50" s="4" t="s">
        <v>150</v>
      </c>
      <c r="B50" s="4" t="s">
        <v>104</v>
      </c>
      <c r="C50" s="4" t="n">
        <v>1</v>
      </c>
      <c r="D50" s="4" t="n">
        <v>0</v>
      </c>
      <c r="E50" s="8" t="n">
        <v>128.6</v>
      </c>
      <c r="F50" s="8" t="n">
        <v>106.59</v>
      </c>
      <c r="G50" s="8" t="n">
        <v>133.5</v>
      </c>
      <c r="H50" s="8" t="n">
        <v>0</v>
      </c>
      <c r="I50" s="8" t="n">
        <v>112.89</v>
      </c>
      <c r="J50" s="8" t="n">
        <v>165.97</v>
      </c>
    </row>
    <row r="51" customFormat="false" ht="15" hidden="false" customHeight="false" outlineLevel="0" collapsed="false">
      <c r="A51" s="4" t="s">
        <v>151</v>
      </c>
      <c r="B51" s="4" t="s">
        <v>107</v>
      </c>
      <c r="C51" s="4" t="n">
        <v>0</v>
      </c>
      <c r="D51" s="4" t="n">
        <v>0</v>
      </c>
      <c r="E51" s="8" t="n">
        <v>238.41</v>
      </c>
      <c r="F51" s="8" t="n">
        <v>165.19</v>
      </c>
      <c r="G51" s="8" t="n">
        <v>238.41</v>
      </c>
      <c r="H51" s="8" t="n">
        <v>59.6</v>
      </c>
      <c r="I51" s="8" t="n">
        <v>153.15</v>
      </c>
      <c r="J51" s="8" t="n">
        <v>153.15</v>
      </c>
    </row>
    <row r="52" customFormat="false" ht="15" hidden="false" customHeight="false" outlineLevel="0" collapsed="false">
      <c r="A52" s="4" t="s">
        <v>152</v>
      </c>
      <c r="B52" s="4" t="s">
        <v>104</v>
      </c>
      <c r="C52" s="4" t="n">
        <v>0</v>
      </c>
      <c r="D52" s="4" t="n">
        <v>0</v>
      </c>
      <c r="E52" s="8" t="n">
        <v>299.9</v>
      </c>
      <c r="F52" s="8" t="n">
        <v>269.2</v>
      </c>
      <c r="G52" s="8" t="n">
        <v>299.9</v>
      </c>
      <c r="H52" s="8" t="n">
        <v>0</v>
      </c>
      <c r="I52" s="8" t="n">
        <v>269.07</v>
      </c>
      <c r="J52" s="8" t="n">
        <v>269.07</v>
      </c>
    </row>
    <row r="53" customFormat="false" ht="15" hidden="false" customHeight="false" outlineLevel="0" collapsed="false">
      <c r="A53" s="4" t="s">
        <v>153</v>
      </c>
      <c r="B53" s="4" t="s">
        <v>107</v>
      </c>
      <c r="C53" s="4" t="n">
        <v>0</v>
      </c>
      <c r="D53" s="4" t="n">
        <v>0</v>
      </c>
      <c r="E53" s="8" t="n">
        <v>152.91</v>
      </c>
      <c r="F53" s="8" t="n">
        <v>107.22</v>
      </c>
      <c r="G53" s="8" t="n">
        <v>152.91</v>
      </c>
      <c r="H53" s="8" t="n">
        <v>38.23</v>
      </c>
      <c r="I53" s="8" t="n">
        <v>100.98</v>
      </c>
      <c r="J53" s="8" t="n">
        <v>100.98</v>
      </c>
    </row>
    <row r="54" customFormat="false" ht="15" hidden="false" customHeight="false" outlineLevel="0" collapsed="false">
      <c r="A54" s="4" t="s">
        <v>154</v>
      </c>
      <c r="B54" s="4" t="s">
        <v>107</v>
      </c>
      <c r="C54" s="4" t="n">
        <v>3</v>
      </c>
      <c r="D54" s="4" t="n">
        <v>1</v>
      </c>
      <c r="E54" s="8" t="n">
        <v>182.01</v>
      </c>
      <c r="F54" s="8" t="n">
        <v>109.94</v>
      </c>
      <c r="G54" s="8" t="n">
        <v>154.7</v>
      </c>
      <c r="H54" s="8" t="n">
        <v>37.45</v>
      </c>
      <c r="I54" s="8" t="n">
        <v>85.49</v>
      </c>
      <c r="J54" s="8" t="n">
        <v>85.49</v>
      </c>
    </row>
    <row r="55" customFormat="false" ht="15" hidden="false" customHeight="false" outlineLevel="0" collapsed="false">
      <c r="A55" s="4" t="s">
        <v>155</v>
      </c>
      <c r="B55" s="4" t="s">
        <v>104</v>
      </c>
      <c r="C55" s="4" t="n">
        <v>1</v>
      </c>
      <c r="D55" s="4" t="n">
        <v>0</v>
      </c>
      <c r="E55" s="8" t="n">
        <v>96.6</v>
      </c>
      <c r="F55" s="8" t="n">
        <v>77.84</v>
      </c>
      <c r="G55" s="8" t="n">
        <v>96.6</v>
      </c>
      <c r="H55" s="8" t="n">
        <v>0</v>
      </c>
      <c r="I55" s="8" t="n">
        <v>77.84</v>
      </c>
      <c r="J55" s="8" t="n">
        <v>130.92</v>
      </c>
    </row>
    <row r="56" customFormat="false" ht="15" hidden="false" customHeight="false" outlineLevel="0" collapsed="false">
      <c r="A56" s="3" t="s">
        <v>156</v>
      </c>
      <c r="C56" s="3" t="n">
        <f aca="false">SUM(C5:C55)</f>
        <v>51</v>
      </c>
      <c r="D56" s="3" t="n">
        <f aca="false">SUM(D5:D55)</f>
        <v>5</v>
      </c>
      <c r="E56" s="9" t="n">
        <f aca="false">SUM(E5:E55)</f>
        <v>9077.26</v>
      </c>
      <c r="F56" s="9" t="n">
        <f aca="false">SUM(F5:F55)</f>
        <v>6385.98</v>
      </c>
      <c r="G56" s="9" t="n">
        <f aca="false">SUM(G5:G55)</f>
        <v>9162.82</v>
      </c>
      <c r="H56" s="9" t="n">
        <f aca="false">SUM(H5:H55)</f>
        <v>1634.77</v>
      </c>
      <c r="I56" s="9" t="n">
        <f aca="false">SUM(I5:I55)</f>
        <v>6182.04</v>
      </c>
      <c r="J56" s="9" t="n">
        <f aca="false">SUM(J5:J55)</f>
        <v>7172.52</v>
      </c>
    </row>
    <row r="57" customFormat="false" ht="15" hidden="false" customHeight="false" outlineLevel="0" collapsed="false">
      <c r="A57" s="4" t="s">
        <v>157</v>
      </c>
      <c r="B57" s="4" t="n">
        <f aca="false">COUNTA(A5:A55)</f>
        <v>51</v>
      </c>
    </row>
    <row r="58" customFormat="false" ht="15" hidden="false" customHeight="false" outlineLevel="0" collapsed="false">
      <c r="A58" s="4" t="s">
        <v>158</v>
      </c>
      <c r="B58" s="4" t="n">
        <f aca="false">COUNTIF(B5:B55,"Ja")</f>
        <v>36</v>
      </c>
    </row>
    <row r="59" customFormat="false" ht="15" hidden="false" customHeight="false" outlineLevel="0" collapsed="false">
      <c r="A59" s="4" t="s">
        <v>159</v>
      </c>
      <c r="B59" s="4" t="n">
        <f aca="false">SUMPRODUCT((G5:G55&gt;E5:E55+0.05)*1)</f>
        <v>25</v>
      </c>
    </row>
    <row r="60" customFormat="false" ht="15" hidden="false" customHeight="false" outlineLevel="0" collapsed="false">
      <c r="A60" s="27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2026-10-22T16:38:20Z</dcterms:created>
  <dc:creator>openpyxl</dc:creator>
  <dc:description/>
  <dc:language>en-US</dc:language>
  <cp:lastModifiedBy/>
  <dcterms:modified xsi:type="dcterms:W3CDTF">2026-10-22T16:38:20Z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